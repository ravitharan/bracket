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1.xml.rels" ContentType="application/vnd.openxmlformats-package.relationship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6"/>
  </bookViews>
  <sheets>
    <sheet name="index" sheetId="1" state="visible" r:id="rId2"/>
    <sheet name="attendance" sheetId="2" state="visible" r:id="rId3"/>
    <sheet name="quali_schedule" sheetId="3" state="visible" r:id="rId4"/>
    <sheet name="quali_score" sheetId="4" state="visible" r:id="rId5"/>
    <sheet name="quali_results" sheetId="5" state="visible" r:id="rId6"/>
    <sheet name="knockout_score" sheetId="6" state="visible" r:id="rId7"/>
    <sheet name="final_results" sheetId="7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<sst xmlns="http://schemas.openxmlformats.org/spreadsheetml/2006/main" count="168" uniqueCount="135">
  <si>
    <t xml:space="preserve">Alec Reed Academy</t>
  </si>
  <si>
    <t xml:space="preserve">Groups</t>
  </si>
  <si>
    <t xml:space="preserve">quali_schedule</t>
  </si>
  <si>
    <t xml:space="preserve">quali_score</t>
  </si>
  <si>
    <t xml:space="preserve">quali_results</t>
  </si>
  <si>
    <t xml:space="preserve">knockout_score</t>
  </si>
  <si>
    <t xml:space="preserve">final_results</t>
  </si>
  <si>
    <t xml:space="preserve">Group </t>
  </si>
  <si>
    <t xml:space="preserve">Team</t>
  </si>
  <si>
    <t xml:space="preserve">Player1</t>
  </si>
  <si>
    <t xml:space="preserve">Attendance</t>
  </si>
  <si>
    <t xml:space="preserve">Player2</t>
  </si>
  <si>
    <t xml:space="preserve">Total</t>
  </si>
  <si>
    <t xml:space="preserve">Group A</t>
  </si>
  <si>
    <t xml:space="preserve">E16/E17</t>
  </si>
  <si>
    <t xml:space="preserve">nalukoK</t>
  </si>
  <si>
    <t xml:space="preserve">levurihT</t>
  </si>
  <si>
    <t xml:space="preserve">E82</t>
  </si>
  <si>
    <t xml:space="preserve">lisaB</t>
  </si>
  <si>
    <t xml:space="preserve">najararamuK</t>
  </si>
  <si>
    <t xml:space="preserve">E91B</t>
  </si>
  <si>
    <t xml:space="preserve">amraD</t>
  </si>
  <si>
    <t xml:space="preserve">upnA</t>
  </si>
  <si>
    <t xml:space="preserve">E97</t>
  </si>
  <si>
    <t xml:space="preserve">hsenahD</t>
  </si>
  <si>
    <t xml:space="preserve">nahticrahT</t>
  </si>
  <si>
    <t xml:space="preserve">E99</t>
  </si>
  <si>
    <t xml:space="preserve">maK</t>
  </si>
  <si>
    <t xml:space="preserve">ivaR</t>
  </si>
  <si>
    <t xml:space="preserve">Group B</t>
  </si>
  <si>
    <t xml:space="preserve">E00</t>
  </si>
  <si>
    <t xml:space="preserve">atteM</t>
  </si>
  <si>
    <t xml:space="preserve">igiV</t>
  </si>
  <si>
    <t xml:space="preserve">E01B</t>
  </si>
  <si>
    <t xml:space="preserve">napalaK</t>
  </si>
  <si>
    <t xml:space="preserve">ardnejaK</t>
  </si>
  <si>
    <t xml:space="preserve">E85/E88</t>
  </si>
  <si>
    <t xml:space="preserve">yoroL</t>
  </si>
  <si>
    <t xml:space="preserve">nardneluK</t>
  </si>
  <si>
    <t xml:space="preserve">E91C</t>
  </si>
  <si>
    <t xml:space="preserve">lugaN</t>
  </si>
  <si>
    <t xml:space="preserve">merP</t>
  </si>
  <si>
    <t xml:space="preserve">S95</t>
  </si>
  <si>
    <t xml:space="preserve">nahtusaviS</t>
  </si>
  <si>
    <t xml:space="preserve">nahsoR</t>
  </si>
  <si>
    <t xml:space="preserve">Group C</t>
  </si>
  <si>
    <t xml:space="preserve">E01A</t>
  </si>
  <si>
    <t xml:space="preserve">seekaV</t>
  </si>
  <si>
    <t xml:space="preserve">ayahT</t>
  </si>
  <si>
    <t xml:space="preserve">E02/E09</t>
  </si>
  <si>
    <t xml:space="preserve">naramuK</t>
  </si>
  <si>
    <t xml:space="preserve">senihT</t>
  </si>
  <si>
    <t xml:space="preserve">E03</t>
  </si>
  <si>
    <t xml:space="preserve">htnahsarP</t>
  </si>
  <si>
    <t xml:space="preserve">regnahS</t>
  </si>
  <si>
    <t xml:space="preserve">E07</t>
  </si>
  <si>
    <t xml:space="preserve">lukoK</t>
  </si>
  <si>
    <t xml:space="preserve">naveejaS</t>
  </si>
  <si>
    <t xml:space="preserve">E90A</t>
  </si>
  <si>
    <t xml:space="preserve">ardneevaN</t>
  </si>
  <si>
    <t xml:space="preserve">Group D</t>
  </si>
  <si>
    <t xml:space="preserve">E87/E94</t>
  </si>
  <si>
    <t xml:space="preserve">nahteenavaN</t>
  </si>
  <si>
    <t xml:space="preserve">nasebaS</t>
  </si>
  <si>
    <t xml:space="preserve">E89/E96</t>
  </si>
  <si>
    <t xml:space="preserve">nalavaliN</t>
  </si>
  <si>
    <t xml:space="preserve">ecnerwaL</t>
  </si>
  <si>
    <t xml:space="preserve">E90B</t>
  </si>
  <si>
    <t xml:space="preserve">ramukavaN</t>
  </si>
  <si>
    <t xml:space="preserve">nahseihtaS</t>
  </si>
  <si>
    <t xml:space="preserve">E91A</t>
  </si>
  <si>
    <t xml:space="preserve">nayihtaS</t>
  </si>
  <si>
    <t xml:space="preserve">navahtA</t>
  </si>
  <si>
    <t xml:space="preserve">E93/S95</t>
  </si>
  <si>
    <t xml:space="preserve">najaK</t>
  </si>
  <si>
    <t xml:space="preserve">naheJ</t>
  </si>
  <si>
    <t xml:space="preserve">Women &amp; Boys</t>
  </si>
  <si>
    <t xml:space="preserve">LA-TH</t>
  </si>
  <si>
    <t xml:space="preserve">ajnavaL</t>
  </si>
  <si>
    <t xml:space="preserve">ayinarahT</t>
  </si>
  <si>
    <t xml:space="preserve">NE-VI</t>
  </si>
  <si>
    <t xml:space="preserve">hseleN</t>
  </si>
  <si>
    <t xml:space="preserve">nahtrihiV</t>
  </si>
  <si>
    <t xml:space="preserve">NI-AS</t>
  </si>
  <si>
    <t xml:space="preserve">nahsoriN</t>
  </si>
  <si>
    <t xml:space="preserve">niwhsA</t>
  </si>
  <si>
    <t xml:space="preserve">SO-AA</t>
  </si>
  <si>
    <t xml:space="preserve">ayrooS</t>
  </si>
  <si>
    <t xml:space="preserve">naylihaA</t>
  </si>
  <si>
    <t xml:space="preserve">Girls</t>
  </si>
  <si>
    <t xml:space="preserve">AL</t>
  </si>
  <si>
    <t xml:space="preserve">anahcrA</t>
  </si>
  <si>
    <t xml:space="preserve">akemskaL</t>
  </si>
  <si>
    <t xml:space="preserve">HA</t>
  </si>
  <si>
    <t xml:space="preserve">iniraH</t>
  </si>
  <si>
    <t xml:space="preserve">ajnanA</t>
  </si>
  <si>
    <t xml:space="preserve">SA</t>
  </si>
  <si>
    <t xml:space="preserve">anahtaS</t>
  </si>
  <si>
    <t xml:space="preserve">arimhskA</t>
  </si>
  <si>
    <t xml:space="preserve">TS</t>
  </si>
  <si>
    <t xml:space="preserve">akihsunahT</t>
  </si>
  <si>
    <t xml:space="preserve">anahaS</t>
  </si>
  <si>
    <t xml:space="preserve">NOT AVAILABLE YET</t>
  </si>
  <si>
    <t xml:space="preserve">g1</t>
  </si>
  <si>
    <t xml:space="preserve">g2</t>
  </si>
  <si>
    <t xml:space="preserve">g3</t>
  </si>
  <si>
    <t xml:space="preserve">g4</t>
  </si>
  <si>
    <t xml:space="preserve">a1</t>
  </si>
  <si>
    <t xml:space="preserve">a2</t>
  </si>
  <si>
    <t xml:space="preserve">a3</t>
  </si>
  <si>
    <t xml:space="preserve">a4</t>
  </si>
  <si>
    <t xml:space="preserve">a5</t>
  </si>
  <si>
    <t xml:space="preserve">b1</t>
  </si>
  <si>
    <t xml:space="preserve">b2</t>
  </si>
  <si>
    <t xml:space="preserve">b3</t>
  </si>
  <si>
    <t xml:space="preserve">b4</t>
  </si>
  <si>
    <t xml:space="preserve">b5</t>
  </si>
  <si>
    <t xml:space="preserve">c1</t>
  </si>
  <si>
    <t xml:space="preserve">c2</t>
  </si>
  <si>
    <t xml:space="preserve">c3</t>
  </si>
  <si>
    <t xml:space="preserve">c4</t>
  </si>
  <si>
    <t xml:space="preserve">c5</t>
  </si>
  <si>
    <t xml:space="preserve">d1</t>
  </si>
  <si>
    <t xml:space="preserve">d2</t>
  </si>
  <si>
    <t xml:space="preserve">d3</t>
  </si>
  <si>
    <t xml:space="preserve">d4</t>
  </si>
  <si>
    <t xml:space="preserve">d5</t>
  </si>
  <si>
    <t xml:space="preserve">w1</t>
  </si>
  <si>
    <t xml:space="preserve">w2</t>
  </si>
  <si>
    <t xml:space="preserve">w3</t>
  </si>
  <si>
    <t xml:space="preserve">w4</t>
  </si>
  <si>
    <t xml:space="preserve">Gold</t>
  </si>
  <si>
    <t xml:space="preserve">Silver</t>
  </si>
  <si>
    <t xml:space="preserve">Bronze</t>
  </si>
  <si>
    <t xml:space="preserve">Participants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</si>
</sst>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8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EEEEE"/>
        <bgColor rgb="FFFFFFFF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2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9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EEEEE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maps.app.goo.gl/hWQ76zcm3rUrLJcP8" TargetMode="External"/><Relationship Id="rId2" Type="http://schemas.openxmlformats.org/officeDocument/2006/relationships/hyperlink" Target="https://storageareaincloud.s3.eu-west-1.amazonaws.com/badminton/Groups.html" TargetMode="External"/><Relationship Id="rId3" Type="http://schemas.openxmlformats.org/officeDocument/2006/relationships/hyperlink" Target="https://storageareaincloud.s3.eu-west-1.amazonaws.com/badminton/quali_schedule.html" TargetMode="External"/><Relationship Id="rId4" Type="http://schemas.openxmlformats.org/officeDocument/2006/relationships/hyperlink" Target="https://storageareaincloud.s3.eu-west-1.amazonaws.com/badminton/quali_score.html" TargetMode="External"/><Relationship Id="rId5" Type="http://schemas.openxmlformats.org/officeDocument/2006/relationships/hyperlink" Target="https://storageareaincloud.s3.eu-west-1.amazonaws.com/badminton/quali_results.html" TargetMode="External"/><Relationship Id="rId6" Type="http://schemas.openxmlformats.org/officeDocument/2006/relationships/hyperlink" Target="https://storageareaincloud.s3.eu-west-1.amazonaws.com/badminton/knockout_score.html" TargetMode="External"/><Relationship Id="rId7" Type="http://schemas.openxmlformats.org/officeDocument/2006/relationships/hyperlink" Target="https://storageareaincloud.s3.eu-west-1.amazonaws.com/badminton/final_results.html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1" activeCellId="0" sqref="F11"/>
    </sheetView>
  </sheetViews>
  <sheetFormatPr defaultColWidth="11.625" defaultRowHeight="12.8" zeroHeight="false" outlineLevelRow="0" outlineLevelCol="0"/>
  <cols>
    <col collapsed="false" customWidth="true" hidden="false" outlineLevel="0" max="2" min="2" style="0" width="20.41"/>
  </cols>
  <sheetData>
    <row r="1" customFormat="false" ht="12.8" hidden="false" customHeight="false" outlineLevel="0" collapsed="false">
      <c r="A1" s="1" t="n">
        <v>1</v>
      </c>
      <c r="B1" s="0" t="s">
        <v>0</v>
      </c>
    </row>
    <row r="2" customFormat="false" ht="12.8" hidden="false" customHeight="false" outlineLevel="0" collapsed="false">
      <c r="A2" s="1" t="n">
        <v>2</v>
      </c>
      <c r="B2" s="0" t="s">
        <v>1</v>
      </c>
    </row>
    <row r="3" customFormat="false" ht="12.8" hidden="false" customHeight="false" outlineLevel="0" collapsed="false">
      <c r="A3" s="1" t="n">
        <v>3</v>
      </c>
      <c r="B3" s="0" t="s">
        <v>2</v>
      </c>
    </row>
    <row r="4" customFormat="false" ht="12.8" hidden="false" customHeight="false" outlineLevel="0" collapsed="false">
      <c r="A4" s="1" t="n">
        <v>4</v>
      </c>
      <c r="B4" s="0" t="s">
        <v>3</v>
      </c>
    </row>
    <row r="5" customFormat="false" ht="12.8" hidden="false" customHeight="false" outlineLevel="0" collapsed="false">
      <c r="A5" s="1" t="n">
        <v>5</v>
      </c>
      <c r="B5" s="0" t="s">
        <v>4</v>
      </c>
    </row>
    <row r="6" customFormat="false" ht="12.8" hidden="false" customHeight="false" outlineLevel="0" collapsed="false">
      <c r="A6" s="1" t="n">
        <v>6</v>
      </c>
      <c r="B6" s="0" t="s">
        <v>5</v>
      </c>
    </row>
    <row r="7" customFormat="false" ht="12.8" hidden="false" customHeight="false" outlineLevel="0" collapsed="false">
      <c r="A7" s="1" t="n">
        <v>7</v>
      </c>
      <c r="B7" s="0" t="s">
        <v>6</v>
      </c>
    </row>
  </sheetData>
  <hyperlinks>
    <hyperlink ref="B1" r:id="rId1" display="Alec Reed Academy"/>
    <hyperlink ref="B2" r:id="rId2" display="Groups"/>
    <hyperlink ref="B3" r:id="rId3" display="quali_schedule"/>
    <hyperlink ref="B4" r:id="rId4" display="quali_score"/>
    <hyperlink ref="B5" r:id="rId5" display="quali_results"/>
    <hyperlink ref="B6" r:id="rId6" display="knockout_score"/>
    <hyperlink ref="B7" r:id="rId7" display="final_results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100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26" activeCellId="0" sqref="A26"/>
    </sheetView>
  </sheetViews>
  <sheetFormatPr defaultColWidth="13.77734375" defaultRowHeight="12.75" zeroHeight="false" outlineLevelRow="0" outlineLevelCol="0"/>
  <cols>
    <col collapsed="false" customWidth="true" hidden="false" outlineLevel="0" max="1" min="1" style="2" width="15.31"/>
    <col collapsed="false" customWidth="true" hidden="false" outlineLevel="0" max="4" min="4" style="1" width="13.31"/>
    <col collapsed="false" customWidth="true" hidden="false" outlineLevel="0" max="7" min="6" style="1" width="13.31"/>
    <col collapsed="false" customWidth="true" hidden="false" outlineLevel="0" max="1024" min="958" style="2" width="11.52"/>
  </cols>
  <sheetData>
    <row r="1" s="3" customFormat="true" ht="13.5" hidden="false" customHeight="true" outlineLevel="0" collapsed="false">
      <c r="A1" s="3" t="s">
        <v>7</v>
      </c>
      <c r="B1" s="4" t="s">
        <v>8</v>
      </c>
      <c r="C1" s="3" t="s">
        <v>9</v>
      </c>
      <c r="D1" s="4" t="s">
        <v>10</v>
      </c>
      <c r="E1" s="3" t="s">
        <v>11</v>
      </c>
      <c r="F1" s="4" t="s">
        <v>10</v>
      </c>
      <c r="G1" s="4" t="s">
        <v>12</v>
      </c>
      <c r="AKV1" s="2"/>
      <c r="AKW1" s="2"/>
      <c r="AKX1" s="2"/>
      <c r="AKY1" s="2"/>
      <c r="AKZ1" s="2"/>
      <c r="ALA1" s="2"/>
      <c r="ALB1" s="2"/>
      <c r="ALC1" s="2"/>
      <c r="ALD1" s="2"/>
      <c r="ALE1" s="2"/>
      <c r="ALF1" s="2"/>
      <c r="ALG1" s="2"/>
      <c r="ALH1" s="2"/>
      <c r="ALI1" s="2"/>
      <c r="ALJ1" s="2"/>
      <c r="ALK1" s="2"/>
      <c r="ALL1" s="2"/>
      <c r="ALM1" s="2"/>
      <c r="ALN1" s="2"/>
      <c r="ALO1" s="2"/>
      <c r="ALP1" s="2"/>
      <c r="ALQ1" s="2"/>
      <c r="ALR1" s="2"/>
      <c r="ALS1" s="2"/>
      <c r="ALT1" s="2"/>
      <c r="ALU1" s="2"/>
      <c r="ALV1" s="2"/>
      <c r="ALW1" s="2"/>
      <c r="ALX1" s="2"/>
      <c r="ALY1" s="2"/>
      <c r="ALZ1" s="2"/>
      <c r="AMA1" s="2"/>
      <c r="AMB1" s="2"/>
      <c r="AMC1" s="2"/>
      <c r="AMD1" s="2"/>
      <c r="AME1" s="2"/>
      <c r="AMF1" s="2"/>
      <c r="AMG1" s="2"/>
      <c r="AMH1" s="2"/>
      <c r="AMI1" s="2"/>
      <c r="AMJ1" s="2"/>
    </row>
    <row r="2" customFormat="false" ht="13.5" hidden="false" customHeight="true" outlineLevel="0" collapsed="false">
      <c r="A2" s="2" t="s">
        <v>13</v>
      </c>
      <c r="B2" s="2" t="s">
        <v>14</v>
      </c>
      <c r="C2" s="2" t="s">
        <v>15</v>
      </c>
      <c r="E2" s="2" t="s">
        <v>16</v>
      </c>
      <c r="G2" s="5" t="str">
        <f aca="false">IF(AND(D2=1,F2=1),1,"")</f>
        <v/>
      </c>
    </row>
    <row r="3" customFormat="false" ht="13.5" hidden="false" customHeight="true" outlineLevel="0" collapsed="false">
      <c r="A3" s="2" t="s">
        <v>13</v>
      </c>
      <c r="B3" s="2" t="s">
        <v>17</v>
      </c>
      <c r="C3" s="2" t="s">
        <v>18</v>
      </c>
      <c r="E3" s="2" t="s">
        <v>19</v>
      </c>
      <c r="G3" s="5" t="str">
        <f aca="false">IF(AND(D3=1,F3=1),1,"")</f>
        <v/>
      </c>
    </row>
    <row r="4" customFormat="false" ht="13.5" hidden="false" customHeight="true" outlineLevel="0" collapsed="false">
      <c r="A4" s="2" t="s">
        <v>13</v>
      </c>
      <c r="B4" s="2" t="s">
        <v>20</v>
      </c>
      <c r="C4" s="2" t="s">
        <v>21</v>
      </c>
      <c r="E4" s="2" t="s">
        <v>22</v>
      </c>
      <c r="G4" s="5" t="str">
        <f aca="false">IF(AND(D4=1,F4=1),1,"")</f>
        <v/>
      </c>
    </row>
    <row r="5" customFormat="false" ht="13.5" hidden="false" customHeight="true" outlineLevel="0" collapsed="false">
      <c r="A5" s="2" t="s">
        <v>13</v>
      </c>
      <c r="B5" s="2" t="s">
        <v>23</v>
      </c>
      <c r="C5" s="2" t="s">
        <v>24</v>
      </c>
      <c r="E5" s="2" t="s">
        <v>25</v>
      </c>
      <c r="G5" s="5" t="str">
        <f aca="false">IF(AND(D5=1,F5=1),1,"")</f>
        <v/>
      </c>
    </row>
    <row r="6" customFormat="false" ht="13.5" hidden="false" customHeight="true" outlineLevel="0" collapsed="false">
      <c r="A6" s="2" t="s">
        <v>13</v>
      </c>
      <c r="B6" s="2" t="s">
        <v>26</v>
      </c>
      <c r="C6" s="2" t="s">
        <v>27</v>
      </c>
      <c r="E6" s="2" t="s">
        <v>28</v>
      </c>
      <c r="G6" s="5" t="str">
        <f aca="false">IF(AND(D6=1,F6=1),1,"")</f>
        <v/>
      </c>
    </row>
    <row r="7" customFormat="false" ht="13.5" hidden="false" customHeight="true" outlineLevel="0" collapsed="false">
      <c r="G7" s="1" t="n">
        <f aca="false">SUM(G2:G6)</f>
        <v>0</v>
      </c>
    </row>
    <row r="8" customFormat="false" ht="13.5" hidden="false" customHeight="true" outlineLevel="0" collapsed="false">
      <c r="A8" s="2" t="s">
        <v>29</v>
      </c>
      <c r="B8" s="2" t="s">
        <v>30</v>
      </c>
      <c r="C8" s="2" t="s">
        <v>31</v>
      </c>
      <c r="E8" s="2" t="s">
        <v>32</v>
      </c>
      <c r="G8" s="5" t="str">
        <f aca="false">IF(AND(D8=1,F8=1),1,"")</f>
        <v/>
      </c>
    </row>
    <row r="9" customFormat="false" ht="13.5" hidden="false" customHeight="true" outlineLevel="0" collapsed="false">
      <c r="A9" s="2" t="s">
        <v>29</v>
      </c>
      <c r="B9" s="2" t="s">
        <v>33</v>
      </c>
      <c r="C9" s="2" t="s">
        <v>34</v>
      </c>
      <c r="E9" s="2" t="s">
        <v>35</v>
      </c>
      <c r="G9" s="5" t="str">
        <f aca="false">IF(AND(D9=1,F9=1),1,"")</f>
        <v/>
      </c>
    </row>
    <row r="10" customFormat="false" ht="13.5" hidden="false" customHeight="true" outlineLevel="0" collapsed="false">
      <c r="A10" s="2" t="s">
        <v>29</v>
      </c>
      <c r="B10" s="2" t="s">
        <v>36</v>
      </c>
      <c r="C10" s="2" t="s">
        <v>37</v>
      </c>
      <c r="E10" s="2" t="s">
        <v>38</v>
      </c>
      <c r="G10" s="5" t="str">
        <f aca="false">IF(AND(D10=1,F10=1),1,"")</f>
        <v/>
      </c>
    </row>
    <row r="11" customFormat="false" ht="13.5" hidden="false" customHeight="true" outlineLevel="0" collapsed="false">
      <c r="A11" s="2" t="s">
        <v>29</v>
      </c>
      <c r="B11" s="2" t="s">
        <v>39</v>
      </c>
      <c r="C11" s="2" t="s">
        <v>40</v>
      </c>
      <c r="E11" s="2" t="s">
        <v>41</v>
      </c>
      <c r="G11" s="5" t="str">
        <f aca="false">IF(AND(D11=1,F11=1),1,"")</f>
        <v/>
      </c>
    </row>
    <row r="12" customFormat="false" ht="13.5" hidden="false" customHeight="true" outlineLevel="0" collapsed="false">
      <c r="A12" s="2" t="s">
        <v>29</v>
      </c>
      <c r="B12" s="2" t="s">
        <v>42</v>
      </c>
      <c r="C12" s="2" t="s">
        <v>43</v>
      </c>
      <c r="E12" s="2" t="s">
        <v>44</v>
      </c>
      <c r="G12" s="5" t="str">
        <f aca="false">IF(AND(D12=1,F12=1),1,"")</f>
        <v/>
      </c>
    </row>
    <row r="13" customFormat="false" ht="13.5" hidden="false" customHeight="true" outlineLevel="0" collapsed="false">
      <c r="G13" s="1" t="n">
        <f aca="false">SUM(G8:G12)</f>
        <v>0</v>
      </c>
    </row>
    <row r="14" customFormat="false" ht="13.5" hidden="false" customHeight="true" outlineLevel="0" collapsed="false">
      <c r="A14" s="2" t="s">
        <v>45</v>
      </c>
      <c r="B14" s="2" t="s">
        <v>46</v>
      </c>
      <c r="C14" s="2" t="s">
        <v>47</v>
      </c>
      <c r="E14" s="2" t="s">
        <v>48</v>
      </c>
      <c r="G14" s="5" t="str">
        <f aca="false">IF(AND(D14=1,F14=1),1,"")</f>
        <v/>
      </c>
    </row>
    <row r="15" customFormat="false" ht="13.5" hidden="false" customHeight="true" outlineLevel="0" collapsed="false">
      <c r="A15" s="2" t="s">
        <v>45</v>
      </c>
      <c r="B15" s="2" t="s">
        <v>49</v>
      </c>
      <c r="C15" s="2" t="s">
        <v>50</v>
      </c>
      <c r="E15" s="2" t="s">
        <v>51</v>
      </c>
      <c r="G15" s="5" t="str">
        <f aca="false">IF(AND(D15=1,F15=1),1,"")</f>
        <v/>
      </c>
    </row>
    <row r="16" customFormat="false" ht="13.5" hidden="false" customHeight="true" outlineLevel="0" collapsed="false">
      <c r="A16" s="2" t="s">
        <v>45</v>
      </c>
      <c r="B16" s="2" t="s">
        <v>52</v>
      </c>
      <c r="C16" s="2" t="s">
        <v>53</v>
      </c>
      <c r="E16" s="2" t="s">
        <v>54</v>
      </c>
      <c r="G16" s="5" t="str">
        <f aca="false">IF(AND(D16=1,F16=1),1,"")</f>
        <v/>
      </c>
    </row>
    <row r="17" customFormat="false" ht="13.5" hidden="false" customHeight="true" outlineLevel="0" collapsed="false">
      <c r="A17" s="2" t="s">
        <v>45</v>
      </c>
      <c r="B17" s="2" t="s">
        <v>55</v>
      </c>
      <c r="C17" s="2" t="s">
        <v>56</v>
      </c>
      <c r="E17" s="2" t="s">
        <v>57</v>
      </c>
      <c r="G17" s="5" t="str">
        <f aca="false">IF(AND(D17=1,F17=1),1,"")</f>
        <v/>
      </c>
    </row>
    <row r="18" customFormat="false" ht="13.5" hidden="false" customHeight="true" outlineLevel="0" collapsed="false">
      <c r="A18" s="2" t="s">
        <v>45</v>
      </c>
      <c r="B18" s="2" t="s">
        <v>58</v>
      </c>
      <c r="C18" s="2" t="s">
        <v>28</v>
      </c>
      <c r="E18" s="2" t="s">
        <v>59</v>
      </c>
      <c r="G18" s="5" t="str">
        <f aca="false">IF(AND(D18=1,F18=1),1,"")</f>
        <v/>
      </c>
    </row>
    <row r="19" customFormat="false" ht="13.5" hidden="false" customHeight="true" outlineLevel="0" collapsed="false">
      <c r="G19" s="1" t="n">
        <f aca="false">SUM(G14:G18)</f>
        <v>0</v>
      </c>
    </row>
    <row r="20" customFormat="false" ht="13.5" hidden="false" customHeight="true" outlineLevel="0" collapsed="false">
      <c r="A20" s="2" t="s">
        <v>60</v>
      </c>
      <c r="B20" s="2" t="s">
        <v>61</v>
      </c>
      <c r="C20" s="2" t="s">
        <v>62</v>
      </c>
      <c r="E20" s="2" t="s">
        <v>63</v>
      </c>
      <c r="G20" s="5" t="str">
        <f aca="false">IF(AND(D20=1,F20=1),1,"")</f>
        <v/>
      </c>
    </row>
    <row r="21" customFormat="false" ht="15.75" hidden="false" customHeight="true" outlineLevel="0" collapsed="false">
      <c r="A21" s="2" t="s">
        <v>60</v>
      </c>
      <c r="B21" s="2" t="s">
        <v>64</v>
      </c>
      <c r="C21" s="2" t="s">
        <v>65</v>
      </c>
      <c r="E21" s="2" t="s">
        <v>66</v>
      </c>
      <c r="G21" s="5" t="str">
        <f aca="false">IF(AND(D21=1,F21=1),1,"")</f>
        <v/>
      </c>
    </row>
    <row r="22" customFormat="false" ht="15.75" hidden="false" customHeight="true" outlineLevel="0" collapsed="false">
      <c r="A22" s="2" t="s">
        <v>60</v>
      </c>
      <c r="B22" s="2" t="s">
        <v>67</v>
      </c>
      <c r="C22" s="2" t="s">
        <v>68</v>
      </c>
      <c r="E22" s="2" t="s">
        <v>69</v>
      </c>
      <c r="G22" s="5" t="str">
        <f aca="false">IF(AND(D22=1,F22=1),1,"")</f>
        <v/>
      </c>
    </row>
    <row r="23" customFormat="false" ht="15.75" hidden="false" customHeight="true" outlineLevel="0" collapsed="false">
      <c r="A23" s="2" t="s">
        <v>60</v>
      </c>
      <c r="B23" s="2" t="s">
        <v>70</v>
      </c>
      <c r="C23" s="2" t="s">
        <v>71</v>
      </c>
      <c r="E23" s="2" t="s">
        <v>72</v>
      </c>
      <c r="G23" s="5" t="str">
        <f aca="false">IF(AND(D23=1,F23=1),1,"")</f>
        <v/>
      </c>
    </row>
    <row r="24" customFormat="false" ht="15.75" hidden="false" customHeight="true" outlineLevel="0" collapsed="false">
      <c r="A24" s="2" t="s">
        <v>60</v>
      </c>
      <c r="B24" s="2" t="s">
        <v>73</v>
      </c>
      <c r="C24" s="2" t="s">
        <v>74</v>
      </c>
      <c r="E24" s="2" t="s">
        <v>75</v>
      </c>
      <c r="G24" s="5" t="str">
        <f aca="false">IF(AND(D24=1,F24=1),1,"")</f>
        <v/>
      </c>
    </row>
    <row r="25" customFormat="false" ht="15.75" hidden="false" customHeight="true" outlineLevel="0" collapsed="false">
      <c r="G25" s="1" t="n">
        <f aca="false">SUM(G20:G24)</f>
        <v>0</v>
      </c>
    </row>
    <row r="26" customFormat="false" ht="15.75" hidden="false" customHeight="true" outlineLevel="0" collapsed="false">
      <c r="A26" s="2" t="s">
        <v>76</v>
      </c>
      <c r="B26" s="2" t="s">
        <v>77</v>
      </c>
      <c r="C26" s="2" t="s">
        <v>78</v>
      </c>
      <c r="E26" s="2" t="s">
        <v>79</v>
      </c>
      <c r="G26" s="5" t="str">
        <f aca="false">IF(AND(D26=1,F26=1),1,"")</f>
        <v/>
      </c>
    </row>
    <row r="27" customFormat="false" ht="15.75" hidden="false" customHeight="true" outlineLevel="0" collapsed="false">
      <c r="A27" s="2" t="s">
        <v>76</v>
      </c>
      <c r="B27" s="2" t="s">
        <v>80</v>
      </c>
      <c r="C27" s="2" t="s">
        <v>81</v>
      </c>
      <c r="E27" s="2" t="s">
        <v>82</v>
      </c>
      <c r="G27" s="5" t="str">
        <f aca="false">IF(AND(D27=1,F27=1),1,"")</f>
        <v/>
      </c>
    </row>
    <row r="28" customFormat="false" ht="15.75" hidden="false" customHeight="true" outlineLevel="0" collapsed="false">
      <c r="A28" s="2" t="s">
        <v>76</v>
      </c>
      <c r="B28" s="2" t="s">
        <v>83</v>
      </c>
      <c r="C28" s="2" t="s">
        <v>84</v>
      </c>
      <c r="E28" s="2" t="s">
        <v>85</v>
      </c>
      <c r="G28" s="5" t="str">
        <f aca="false">IF(AND(D28=1,F28=1),1,"")</f>
        <v/>
      </c>
    </row>
    <row r="29" customFormat="false" ht="15.75" hidden="false" customHeight="true" outlineLevel="0" collapsed="false">
      <c r="A29" s="2" t="s">
        <v>76</v>
      </c>
      <c r="B29" s="2" t="s">
        <v>86</v>
      </c>
      <c r="C29" s="2" t="s">
        <v>87</v>
      </c>
      <c r="E29" s="2" t="s">
        <v>88</v>
      </c>
      <c r="G29" s="5" t="str">
        <f aca="false">IF(AND(D29=1,F29=1),1,"")</f>
        <v/>
      </c>
    </row>
    <row r="30" customFormat="false" ht="15.75" hidden="false" customHeight="true" outlineLevel="0" collapsed="false">
      <c r="G30" s="1" t="n">
        <f aca="false">SUM(G26:G29)</f>
        <v>0</v>
      </c>
    </row>
    <row r="31" customFormat="false" ht="15.75" hidden="false" customHeight="true" outlineLevel="0" collapsed="false">
      <c r="A31" s="2" t="s">
        <v>89</v>
      </c>
      <c r="B31" s="2" t="s">
        <v>90</v>
      </c>
      <c r="C31" s="2" t="s">
        <v>91</v>
      </c>
      <c r="E31" s="2" t="s">
        <v>92</v>
      </c>
      <c r="G31" s="5" t="str">
        <f aca="false">IF(AND(D31=1,F31=1),1,"")</f>
        <v/>
      </c>
    </row>
    <row r="32" customFormat="false" ht="15.75" hidden="false" customHeight="true" outlineLevel="0" collapsed="false">
      <c r="A32" s="2" t="s">
        <v>89</v>
      </c>
      <c r="B32" s="2" t="s">
        <v>93</v>
      </c>
      <c r="C32" s="2" t="s">
        <v>94</v>
      </c>
      <c r="E32" s="2" t="s">
        <v>95</v>
      </c>
      <c r="G32" s="5" t="str">
        <f aca="false">IF(AND(D32=1,F32=1),1,"")</f>
        <v/>
      </c>
    </row>
    <row r="33" customFormat="false" ht="15.75" hidden="false" customHeight="true" outlineLevel="0" collapsed="false">
      <c r="A33" s="2" t="s">
        <v>89</v>
      </c>
      <c r="B33" s="2" t="s">
        <v>96</v>
      </c>
      <c r="C33" s="2" t="s">
        <v>97</v>
      </c>
      <c r="E33" s="2" t="s">
        <v>98</v>
      </c>
      <c r="G33" s="5" t="str">
        <f aca="false">IF(AND(D33=1,F33=1),1,"")</f>
        <v/>
      </c>
    </row>
    <row r="34" customFormat="false" ht="15.75" hidden="false" customHeight="true" outlineLevel="0" collapsed="false">
      <c r="A34" s="2" t="s">
        <v>89</v>
      </c>
      <c r="B34" s="2" t="s">
        <v>99</v>
      </c>
      <c r="C34" s="2" t="s">
        <v>100</v>
      </c>
      <c r="E34" s="2" t="s">
        <v>101</v>
      </c>
      <c r="G34" s="5" t="str">
        <f aca="false">IF(AND(D34=1,F34=1),1,"")</f>
        <v/>
      </c>
    </row>
    <row r="35" customFormat="false" ht="15.75" hidden="false" customHeight="true" outlineLevel="0" collapsed="false">
      <c r="G35" s="1" t="n">
        <f aca="false">SUM(G31:G34)</f>
        <v>0</v>
      </c>
    </row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2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100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L40" activeCellId="0" sqref="L40"/>
    </sheetView>
  </sheetViews>
  <sheetFormatPr defaultColWidth="13.77734375" defaultRowHeight="12.75" zeroHeight="false" outlineLevelRow="0" outlineLevelCol="0"/>
  <cols>
    <col collapsed="false" customWidth="true" hidden="false" outlineLevel="0" max="1" min="1" style="2" width="21.26"/>
    <col collapsed="false" customWidth="true" hidden="false" outlineLevel="0" max="2" min="2" style="2" width="9.51"/>
    <col collapsed="false" customWidth="true" hidden="false" outlineLevel="0" max="14" min="3" style="2" width="10.19"/>
    <col collapsed="false" customWidth="true" hidden="false" outlineLevel="0" max="15" min="15" style="2" width="9.51"/>
    <col collapsed="false" customWidth="true" hidden="false" outlineLevel="0" max="16" min="16" style="2" width="12.75"/>
    <col collapsed="false" customWidth="true" hidden="false" outlineLevel="0" max="1024" min="999" style="2" width="11.52"/>
  </cols>
  <sheetData>
    <row r="1" s="6" customFormat="true" ht="15" hidden="false" customHeight="true" outlineLevel="0" collapsed="false">
      <c r="A1" s="3" t="s">
        <v>102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ALK1" s="2"/>
      <c r="ALL1" s="2"/>
      <c r="ALM1" s="2"/>
      <c r="ALN1" s="2"/>
      <c r="ALO1" s="2"/>
      <c r="ALP1" s="2"/>
      <c r="ALQ1" s="2"/>
      <c r="ALR1" s="2"/>
      <c r="ALS1" s="2"/>
      <c r="ALT1" s="2"/>
      <c r="ALU1" s="2"/>
      <c r="ALV1" s="2"/>
      <c r="ALW1" s="2"/>
      <c r="ALX1" s="2"/>
      <c r="ALY1" s="2"/>
      <c r="ALZ1" s="2"/>
      <c r="AMA1" s="2"/>
      <c r="AMB1" s="2"/>
      <c r="AMC1" s="2"/>
      <c r="AMD1" s="2"/>
      <c r="AME1" s="2"/>
      <c r="AMF1" s="2"/>
      <c r="AMG1" s="2"/>
      <c r="AMH1" s="2"/>
      <c r="AMI1" s="2"/>
      <c r="AMJ1" s="2"/>
    </row>
    <row r="2" customFormat="false" ht="15" hidden="false" customHeight="true" outlineLevel="0" collapsed="false"/>
    <row r="3" customFormat="false" ht="15" hidden="false" customHeight="true" outlineLevel="0" collapsed="false"/>
    <row r="4" customFormat="false" ht="15" hidden="false" customHeight="true" outlineLevel="0" collapsed="false"/>
    <row r="5" customFormat="false" ht="15" hidden="false" customHeight="true" outlineLevel="0" collapsed="false"/>
    <row r="6" customFormat="false" ht="15" hidden="false" customHeight="true" outlineLevel="0" collapsed="false"/>
    <row r="7" customFormat="false" ht="15" hidden="false" customHeight="true" outlineLevel="0" collapsed="false"/>
    <row r="8" customFormat="false" ht="15" hidden="false" customHeight="true" outlineLevel="0" collapsed="false"/>
    <row r="9" customFormat="false" ht="15" hidden="false" customHeight="true" outlineLevel="0" collapsed="false"/>
    <row r="10" customFormat="false" ht="15" hidden="false" customHeight="true" outlineLevel="0" collapsed="false"/>
    <row r="11" customFormat="false" ht="15" hidden="false" customHeight="true" outlineLevel="0" collapsed="false"/>
    <row r="12" customFormat="false" ht="15" hidden="false" customHeight="true" outlineLevel="0" collapsed="false"/>
    <row r="13" customFormat="false" ht="15" hidden="false" customHeight="true" outlineLevel="0" collapsed="false"/>
    <row r="14" customFormat="false" ht="15" hidden="false" customHeight="true" outlineLevel="0" collapsed="false"/>
    <row r="16" s="6" customFormat="true" ht="16.5" hidden="false" customHeight="true" outlineLevel="0" collapsed="false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2"/>
      <c r="ALK16" s="2"/>
      <c r="ALL16" s="2"/>
      <c r="ALM16" s="2"/>
      <c r="ALN16" s="2"/>
      <c r="ALO16" s="2"/>
      <c r="ALP16" s="2"/>
      <c r="ALQ16" s="2"/>
      <c r="ALR16" s="2"/>
      <c r="ALS16" s="2"/>
      <c r="ALT16" s="2"/>
      <c r="ALU16" s="2"/>
      <c r="ALV16" s="2"/>
      <c r="ALW16" s="2"/>
      <c r="ALX16" s="2"/>
      <c r="ALY16" s="2"/>
      <c r="ALZ16" s="2"/>
      <c r="AMA16" s="2"/>
      <c r="AMB16" s="2"/>
      <c r="AMC16" s="2"/>
      <c r="AMD16" s="2"/>
      <c r="AME16" s="2"/>
      <c r="AMF16" s="2"/>
      <c r="AMG16" s="2"/>
      <c r="AMH16" s="2"/>
      <c r="AMI16" s="2"/>
      <c r="AMJ16" s="2"/>
    </row>
    <row r="17" s="9" customFormat="true" ht="16.5" hidden="false" customHeight="true" outlineLevel="0" collapsed="false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ALK17" s="2"/>
      <c r="ALL17" s="2"/>
      <c r="ALM17" s="2"/>
      <c r="ALN17" s="2"/>
      <c r="ALO17" s="2"/>
      <c r="ALP17" s="2"/>
      <c r="ALQ17" s="2"/>
      <c r="ALR17" s="2"/>
      <c r="ALS17" s="2"/>
      <c r="ALT17" s="2"/>
      <c r="ALU17" s="2"/>
      <c r="ALV17" s="2"/>
      <c r="ALW17" s="2"/>
      <c r="ALX17" s="2"/>
      <c r="ALY17" s="2"/>
      <c r="ALZ17" s="2"/>
      <c r="AMA17" s="2"/>
      <c r="AMB17" s="2"/>
      <c r="AMC17" s="2"/>
      <c r="AMD17" s="2"/>
      <c r="AME17" s="2"/>
      <c r="AMF17" s="2"/>
      <c r="AMG17" s="2"/>
      <c r="AMH17" s="2"/>
      <c r="AMI17" s="2"/>
      <c r="AMJ17" s="2"/>
    </row>
    <row r="18" customFormat="false" ht="16.5" hidden="false" customHeight="true" outlineLevel="0" collapsed="false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</row>
    <row r="19" customFormat="false" ht="16.5" hidden="false" customHeight="true" outlineLevel="0" collapsed="false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</row>
    <row r="20" customFormat="false" ht="16.5" hidden="false" customHeight="true" outlineLevel="0" collapsed="false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</row>
    <row r="21" customFormat="false" ht="16.5" hidden="false" customHeight="true" outlineLevel="0" collapsed="false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</row>
    <row r="22" customFormat="false" ht="16.5" hidden="false" customHeight="true" outlineLevel="0" collapsed="false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</row>
    <row r="23" customFormat="false" ht="16.5" hidden="false" customHeight="true" outlineLevel="0" collapsed="false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</row>
    <row r="24" customFormat="false" ht="16.5" hidden="false" customHeight="true" outlineLevel="0" collapsed="false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</row>
    <row r="25" customFormat="false" ht="16.5" hidden="false" customHeight="true" outlineLevel="0" collapsed="false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</row>
    <row r="26" customFormat="false" ht="16.5" hidden="false" customHeight="true" outlineLevel="0" collapsed="false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</row>
    <row r="27" customFormat="false" ht="16.5" hidden="false" customHeight="true" outlineLevel="0" collapsed="false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</row>
    <row r="28" customFormat="false" ht="16.5" hidden="false" customHeight="true" outlineLevel="0" collapsed="false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</row>
    <row r="29" customFormat="false" ht="16.5" hidden="false" customHeight="true" outlineLevel="0" collapsed="false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</row>
    <row r="30" customFormat="false" ht="16.5" hidden="false" customHeight="true" outlineLevel="0" collapsed="false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</row>
    <row r="31" customFormat="false" ht="16.5" hidden="false" customHeight="true" outlineLevel="0" collapsed="false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</row>
    <row r="32" customFormat="false" ht="16.5" hidden="false" customHeight="true" outlineLevel="0" collapsed="false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</row>
    <row r="33" customFormat="false" ht="16.5" hidden="false" customHeight="true" outlineLevel="0" collapsed="false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</row>
    <row r="34" customFormat="false" ht="16.5" hidden="false" customHeight="true" outlineLevel="0" collapsed="false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</row>
    <row r="35" customFormat="false" ht="16.5" hidden="false" customHeight="true" outlineLevel="0" collapsed="false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</row>
    <row r="36" customFormat="false" ht="16.5" hidden="false" customHeight="true" outlineLevel="0" collapsed="false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</row>
    <row r="37" customFormat="false" ht="16.5" hidden="false" customHeight="true" outlineLevel="0" collapsed="false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</row>
    <row r="38" customFormat="false" ht="16.5" hidden="false" customHeight="true" outlineLevel="0" collapsed="false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</row>
    <row r="39" customFormat="false" ht="16.5" hidden="false" customHeight="true" outlineLevel="0" collapsed="false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</row>
    <row r="40" customFormat="false" ht="16.5" hidden="false" customHeight="true" outlineLevel="0" collapsed="false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</row>
    <row r="41" customFormat="false" ht="16.5" hidden="false" customHeight="true" outlineLevel="0" collapsed="false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</row>
    <row r="42" customFormat="false" ht="16.5" hidden="false" customHeight="true" outlineLevel="0" collapsed="false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</row>
    <row r="43" customFormat="false" ht="16.5" hidden="false" customHeight="true" outlineLevel="0" collapsed="false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</row>
    <row r="44" customFormat="false" ht="16.5" hidden="false" customHeight="true" outlineLevel="0" collapsed="false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</row>
    <row r="45" s="6" customFormat="true" ht="15" hidden="false" customHeight="true" outlineLevel="0" collapsed="false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2"/>
    </row>
    <row r="46" customFormat="false" ht="1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100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1" activeCellId="0" sqref="A1"/>
    </sheetView>
  </sheetViews>
  <sheetFormatPr defaultColWidth="13.77734375" defaultRowHeight="12.75" zeroHeight="false" outlineLevelRow="0" outlineLevelCol="0"/>
  <cols>
    <col collapsed="false" customWidth="true" hidden="false" outlineLevel="0" max="1" min="1" style="2" width="19.63"/>
    <col collapsed="false" customWidth="true" hidden="false" outlineLevel="0" max="2" min="2" style="2" width="11.5"/>
    <col collapsed="false" customWidth="true" hidden="false" outlineLevel="0" max="3" min="3" style="1" width="11.5"/>
    <col collapsed="false" customWidth="true" hidden="true" outlineLevel="0" max="4" min="4" style="2" width="11.5"/>
    <col collapsed="false" customWidth="true" hidden="false" outlineLevel="0" max="5" min="5" style="2" width="1.39"/>
    <col collapsed="false" customWidth="true" hidden="true" outlineLevel="0" max="6" min="6" style="2" width="11.5"/>
    <col collapsed="false" customWidth="true" hidden="false" outlineLevel="0" max="7" min="7" style="1" width="11.5"/>
    <col collapsed="false" customWidth="true" hidden="false" outlineLevel="0" max="8" min="8" style="2" width="11.5"/>
    <col collapsed="false" customWidth="true" hidden="false" outlineLevel="0" max="9" min="9" style="2" width="19.63"/>
    <col collapsed="false" customWidth="true" hidden="false" outlineLevel="0" max="13" min="10" style="2" width="11.5"/>
    <col collapsed="false" customWidth="true" hidden="false" outlineLevel="0" max="1024" min="1012" style="2" width="11.52"/>
  </cols>
  <sheetData>
    <row r="1" s="3" customFormat="true" ht="12.75" hidden="false" customHeight="true" outlineLevel="0" collapsed="false">
      <c r="A1" s="3" t="s">
        <v>102</v>
      </c>
    </row>
    <row r="2" customFormat="false" ht="12.75" hidden="false" customHeight="true" outlineLevel="0" collapsed="false"/>
    <row r="3" customFormat="false" ht="12.75" hidden="false" customHeight="true" outlineLevel="0" collapsed="false"/>
    <row r="4" customFormat="false" ht="12.75" hidden="false" customHeight="true" outlineLevel="0" collapsed="false"/>
    <row r="5" customFormat="false" ht="12.75" hidden="false" customHeight="true" outlineLevel="0" collapsed="false"/>
    <row r="6" customFormat="false" ht="12.75" hidden="false" customHeight="true" outlineLevel="0" collapsed="false"/>
    <row r="7" customFormat="false" ht="12.75" hidden="false" customHeight="true" outlineLevel="0" collapsed="false"/>
    <row r="8" customFormat="false" ht="12.75" hidden="false" customHeight="true" outlineLevel="0" collapsed="false"/>
    <row r="9" customFormat="false" ht="12.75" hidden="false" customHeight="true" outlineLevel="0" collapsed="false"/>
    <row r="10" customFormat="false" ht="12.75" hidden="false" customHeight="true" outlineLevel="0" collapsed="false"/>
    <row r="11" customFormat="false" ht="12.75" hidden="false" customHeight="true" outlineLevel="0" collapsed="false"/>
    <row r="12" customFormat="false" ht="12.75" hidden="false" customHeight="true" outlineLevel="0" collapsed="false"/>
    <row r="13" customFormat="false" ht="12.75" hidden="false" customHeight="true" outlineLevel="0" collapsed="false"/>
    <row r="14" customFormat="false" ht="12.75" hidden="false" customHeight="true" outlineLevel="0" collapsed="false"/>
    <row r="15" customFormat="false" ht="12.75" hidden="false" customHeight="true" outlineLevel="0" collapsed="false"/>
    <row r="16" customFormat="false" ht="12.75" hidden="false" customHeight="true" outlineLevel="0" collapsed="false"/>
    <row r="17" customFormat="false" ht="12.75" hidden="false" customHeight="true" outlineLevel="0" collapsed="false"/>
    <row r="18" customFormat="false" ht="12.75" hidden="false" customHeight="true" outlineLevel="0" collapsed="false"/>
    <row r="19" customFormat="false" ht="12.75" hidden="false" customHeight="true" outlineLevel="0" collapsed="false"/>
    <row r="20" customFormat="false" ht="12.75" hidden="false" customHeight="true" outlineLevel="0" collapsed="false"/>
    <row r="21" customFormat="false" ht="12.75" hidden="false" customHeight="true" outlineLevel="0" collapsed="false"/>
    <row r="22" customFormat="false" ht="12.75" hidden="false" customHeight="true" outlineLevel="0" collapsed="false"/>
    <row r="23" customFormat="false" ht="12.75" hidden="false" customHeight="true" outlineLevel="0" collapsed="false"/>
    <row r="24" customFormat="false" ht="12.75" hidden="false" customHeight="true" outlineLevel="0" collapsed="false"/>
    <row r="25" customFormat="false" ht="12.75" hidden="false" customHeight="true" outlineLevel="0" collapsed="false"/>
    <row r="26" customFormat="false" ht="12.75" hidden="false" customHeight="true" outlineLevel="0" collapsed="false"/>
    <row r="27" customFormat="false" ht="12.75" hidden="false" customHeight="true" outlineLevel="0" collapsed="false"/>
    <row r="28" customFormat="false" ht="12.75" hidden="false" customHeight="true" outlineLevel="0" collapsed="false"/>
    <row r="29" customFormat="false" ht="12.75" hidden="false" customHeight="true" outlineLevel="0" collapsed="false"/>
    <row r="30" customFormat="false" ht="12.75" hidden="false" customHeight="true" outlineLevel="0" collapsed="false"/>
    <row r="31" customFormat="false" ht="12.75" hidden="false" customHeight="true" outlineLevel="0" collapsed="false"/>
    <row r="32" customFormat="false" ht="12.75" hidden="false" customHeight="true" outlineLevel="0" collapsed="false"/>
    <row r="33" customFormat="false" ht="12.75" hidden="false" customHeight="true" outlineLevel="0" collapsed="false"/>
    <row r="34" customFormat="false" ht="12.75" hidden="false" customHeight="true" outlineLevel="0" collapsed="false"/>
    <row r="35" customFormat="false" ht="12.75" hidden="false" customHeight="true" outlineLevel="0" collapsed="false"/>
    <row r="36" customFormat="false" ht="12.75" hidden="false" customHeight="true" outlineLevel="0" collapsed="false"/>
    <row r="37" customFormat="false" ht="12.75" hidden="false" customHeight="true" outlineLevel="0" collapsed="false"/>
    <row r="38" customFormat="false" ht="12.75" hidden="false" customHeight="true" outlineLevel="0" collapsed="false"/>
    <row r="39" customFormat="false" ht="12.75" hidden="false" customHeight="true" outlineLevel="0" collapsed="false"/>
    <row r="40" customFormat="false" ht="12.75" hidden="false" customHeight="true" outlineLevel="0" collapsed="false"/>
    <row r="41" customFormat="false" ht="12.75" hidden="false" customHeight="true" outlineLevel="0" collapsed="false"/>
    <row r="42" customFormat="false" ht="12.75" hidden="false" customHeight="true" outlineLevel="0" collapsed="false"/>
    <row r="43" customFormat="false" ht="12.75" hidden="false" customHeight="true" outlineLevel="0" collapsed="false"/>
    <row r="44" customFormat="false" ht="12.75" hidden="false" customHeight="true" outlineLevel="0" collapsed="false"/>
    <row r="45" customFormat="false" ht="12.75" hidden="false" customHeight="true" outlineLevel="0" collapsed="false"/>
    <row r="46" customFormat="false" ht="12.75" hidden="false" customHeight="true" outlineLevel="0" collapsed="false"/>
    <row r="47" customFormat="false" ht="12.75" hidden="false" customHeight="true" outlineLevel="0" collapsed="false"/>
    <row r="48" customFormat="false" ht="12.75" hidden="false" customHeight="true" outlineLevel="0" collapsed="false"/>
    <row r="49" customFormat="false" ht="12.75" hidden="false" customHeight="true" outlineLevel="0" collapsed="false"/>
    <row r="50" customFormat="false" ht="12.75" hidden="false" customHeight="true" outlineLevel="0" collapsed="false"/>
    <row r="51" customFormat="false" ht="12.75" hidden="false" customHeight="true" outlineLevel="0" collapsed="false"/>
    <row r="52" customFormat="false" ht="12.75" hidden="false" customHeight="true" outlineLevel="0" collapsed="false"/>
    <row r="53" customFormat="false" ht="12.75" hidden="false" customHeight="true" outlineLevel="0" collapsed="false"/>
    <row r="54" customFormat="false" ht="12.75" hidden="false" customHeight="true" outlineLevel="0" collapsed="false"/>
    <row r="55" customFormat="false" ht="12.75" hidden="false" customHeight="true" outlineLevel="0" collapsed="false"/>
    <row r="56" customFormat="false" ht="12.75" hidden="false" customHeight="true" outlineLevel="0" collapsed="false"/>
    <row r="57" customFormat="false" ht="12.75" hidden="false" customHeight="true" outlineLevel="0" collapsed="false"/>
    <row r="58" customFormat="false" ht="12.75" hidden="false" customHeight="true" outlineLevel="0" collapsed="false"/>
    <row r="59" customFormat="false" ht="12.75" hidden="false" customHeight="true" outlineLevel="0" collapsed="false"/>
    <row r="60" customFormat="false" ht="12.75" hidden="false" customHeight="true" outlineLevel="0" collapsed="false"/>
    <row r="61" customFormat="false" ht="12.75" hidden="false" customHeight="true" outlineLevel="0" collapsed="false"/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/>
    <row r="85" customFormat="false" ht="12.75" hidden="false" customHeight="true" outlineLevel="0" collapsed="false"/>
    <row r="86" customFormat="false" ht="12.75" hidden="false" customHeight="true" outlineLevel="0" collapsed="false"/>
    <row r="87" customFormat="false" ht="12.75" hidden="false" customHeight="true" outlineLevel="0" collapsed="false"/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" footer="0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 ffffff&amp;A</oddHeader>
    <oddFooter>&amp;C ffffffPage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39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F29" activeCellId="0" sqref="F29"/>
    </sheetView>
  </sheetViews>
  <sheetFormatPr defaultColWidth="12.40625" defaultRowHeight="12.75" zeroHeight="false" outlineLevelRow="0" outlineLevelCol="0"/>
  <cols>
    <col collapsed="false" customWidth="true" hidden="false" outlineLevel="0" max="1" min="1" style="1" width="11.58"/>
    <col collapsed="false" customWidth="true" hidden="false" outlineLevel="0" max="2" min="2" style="2" width="22.62"/>
    <col collapsed="false" customWidth="true" hidden="false" outlineLevel="0" max="4" min="4" style="1" width="11.52"/>
    <col collapsed="false" customWidth="true" hidden="false" outlineLevel="0" max="8" min="5" style="1" width="11.84"/>
    <col collapsed="false" customWidth="true" hidden="false" outlineLevel="0" max="1024" min="1019" style="2" width="11.52"/>
  </cols>
  <sheetData>
    <row r="1" customFormat="false" ht="12.75" hidden="false" customHeight="true" outlineLevel="0" collapsed="false">
      <c r="B1" s="0"/>
    </row>
    <row r="2" customFormat="false" ht="12.75" hidden="false" customHeight="true" outlineLevel="0" collapsed="false">
      <c r="A2" s="1" t="s">
        <v>103</v>
      </c>
      <c r="C2" s="2"/>
      <c r="G2" s="2"/>
    </row>
    <row r="3" customFormat="false" ht="12.75" hidden="false" customHeight="true" outlineLevel="0" collapsed="false">
      <c r="A3" s="1" t="s">
        <v>104</v>
      </c>
      <c r="C3" s="2"/>
      <c r="G3" s="2"/>
    </row>
    <row r="4" customFormat="false" ht="12.75" hidden="false" customHeight="true" outlineLevel="0" collapsed="false">
      <c r="A4" s="1" t="s">
        <v>105</v>
      </c>
      <c r="C4" s="2"/>
      <c r="G4" s="2"/>
    </row>
    <row r="5" customFormat="false" ht="12.75" hidden="false" customHeight="true" outlineLevel="0" collapsed="false">
      <c r="A5" s="1" t="s">
        <v>106</v>
      </c>
      <c r="C5" s="2"/>
      <c r="G5" s="2"/>
    </row>
    <row r="6" customFormat="false" ht="12.75" hidden="false" customHeight="true" outlineLevel="0" collapsed="false">
      <c r="A6" s="2"/>
      <c r="C6" s="2"/>
      <c r="G6" s="2"/>
    </row>
    <row r="7" customFormat="false" ht="12.75" hidden="false" customHeight="true" outlineLevel="0" collapsed="false">
      <c r="A7" s="2"/>
      <c r="G7" s="2"/>
    </row>
    <row r="8" customFormat="false" ht="12.75" hidden="false" customHeight="true" outlineLevel="0" collapsed="false">
      <c r="A8" s="1" t="s">
        <v>107</v>
      </c>
      <c r="B8" s="3" t="s">
        <v>102</v>
      </c>
      <c r="C8" s="2"/>
      <c r="G8" s="2"/>
    </row>
    <row r="9" customFormat="false" ht="12.75" hidden="false" customHeight="true" outlineLevel="0" collapsed="false">
      <c r="A9" s="1" t="s">
        <v>108</v>
      </c>
      <c r="C9" s="2"/>
      <c r="G9" s="2"/>
    </row>
    <row r="10" customFormat="false" ht="12.75" hidden="false" customHeight="true" outlineLevel="0" collapsed="false">
      <c r="A10" s="1" t="s">
        <v>109</v>
      </c>
      <c r="C10" s="2"/>
      <c r="G10" s="2"/>
    </row>
    <row r="11" customFormat="false" ht="12.75" hidden="false" customHeight="true" outlineLevel="0" collapsed="false">
      <c r="A11" s="1" t="s">
        <v>110</v>
      </c>
      <c r="C11" s="2"/>
      <c r="G11" s="2"/>
    </row>
    <row r="12" customFormat="false" ht="12.75" hidden="false" customHeight="true" outlineLevel="0" collapsed="false">
      <c r="A12" s="1" t="s">
        <v>111</v>
      </c>
      <c r="G12" s="2"/>
    </row>
    <row r="13" customFormat="false" ht="12.75" hidden="false" customHeight="true" outlineLevel="0" collapsed="false">
      <c r="C13" s="2"/>
      <c r="G13" s="2"/>
    </row>
    <row r="14" customFormat="false" ht="12.75" hidden="false" customHeight="true" outlineLevel="0" collapsed="false">
      <c r="G14" s="2"/>
    </row>
    <row r="15" customFormat="false" ht="12.75" hidden="false" customHeight="true" outlineLevel="0" collapsed="false">
      <c r="A15" s="1" t="s">
        <v>112</v>
      </c>
      <c r="G15" s="2"/>
    </row>
    <row r="16" customFormat="false" ht="12.75" hidden="false" customHeight="true" outlineLevel="0" collapsed="false">
      <c r="A16" s="1" t="s">
        <v>113</v>
      </c>
      <c r="C16" s="2"/>
      <c r="G16" s="2"/>
    </row>
    <row r="17" customFormat="false" ht="12.75" hidden="false" customHeight="true" outlineLevel="0" collapsed="false">
      <c r="A17" s="1" t="s">
        <v>114</v>
      </c>
      <c r="C17" s="2"/>
      <c r="G17" s="2"/>
    </row>
    <row r="18" customFormat="false" ht="12.75" hidden="false" customHeight="true" outlineLevel="0" collapsed="false">
      <c r="A18" s="1" t="s">
        <v>115</v>
      </c>
      <c r="C18" s="2"/>
      <c r="G18" s="2"/>
    </row>
    <row r="19" customFormat="false" ht="12.75" hidden="false" customHeight="true" outlineLevel="0" collapsed="false">
      <c r="A19" s="1" t="s">
        <v>116</v>
      </c>
      <c r="C19" s="2"/>
      <c r="G19" s="2"/>
    </row>
    <row r="20" customFormat="false" ht="12.75" hidden="false" customHeight="true" outlineLevel="0" collapsed="false">
      <c r="C20" s="2"/>
      <c r="G20" s="2"/>
    </row>
    <row r="21" customFormat="false" ht="12.75" hidden="false" customHeight="true" outlineLevel="0" collapsed="false">
      <c r="G21" s="2"/>
    </row>
    <row r="22" customFormat="false" ht="12.75" hidden="false" customHeight="true" outlineLevel="0" collapsed="false">
      <c r="A22" s="1" t="s">
        <v>117</v>
      </c>
      <c r="C22" s="2"/>
      <c r="G22" s="2"/>
    </row>
    <row r="23" customFormat="false" ht="12.75" hidden="false" customHeight="true" outlineLevel="0" collapsed="false">
      <c r="A23" s="1" t="s">
        <v>118</v>
      </c>
      <c r="C23" s="2"/>
      <c r="G23" s="2"/>
    </row>
    <row r="24" customFormat="false" ht="12.75" hidden="false" customHeight="true" outlineLevel="0" collapsed="false">
      <c r="A24" s="1" t="s">
        <v>119</v>
      </c>
      <c r="C24" s="2"/>
      <c r="G24" s="2"/>
    </row>
    <row r="25" customFormat="false" ht="12.75" hidden="false" customHeight="true" outlineLevel="0" collapsed="false">
      <c r="A25" s="1" t="s">
        <v>120</v>
      </c>
      <c r="C25" s="2"/>
      <c r="G25" s="2"/>
    </row>
    <row r="26" customFormat="false" ht="12.75" hidden="false" customHeight="true" outlineLevel="0" collapsed="false">
      <c r="A26" s="1" t="s">
        <v>121</v>
      </c>
      <c r="G26" s="2"/>
    </row>
    <row r="27" customFormat="false" ht="12.75" hidden="false" customHeight="true" outlineLevel="0" collapsed="false">
      <c r="C27" s="2"/>
      <c r="G27" s="2"/>
    </row>
    <row r="28" customFormat="false" ht="12.75" hidden="false" customHeight="true" outlineLevel="0" collapsed="false">
      <c r="G28" s="2"/>
    </row>
    <row r="29" customFormat="false" ht="12.75" hidden="false" customHeight="true" outlineLevel="0" collapsed="false">
      <c r="A29" s="1" t="s">
        <v>122</v>
      </c>
      <c r="C29" s="2"/>
      <c r="G29" s="2"/>
    </row>
    <row r="30" customFormat="false" ht="12.75" hidden="false" customHeight="true" outlineLevel="0" collapsed="false">
      <c r="A30" s="1" t="s">
        <v>123</v>
      </c>
      <c r="C30" s="2"/>
      <c r="G30" s="2"/>
    </row>
    <row r="31" customFormat="false" ht="12.75" hidden="false" customHeight="true" outlineLevel="0" collapsed="false">
      <c r="A31" s="1" t="s">
        <v>124</v>
      </c>
      <c r="C31" s="2"/>
      <c r="G31" s="2"/>
    </row>
    <row r="32" customFormat="false" ht="12.75" hidden="false" customHeight="true" outlineLevel="0" collapsed="false">
      <c r="A32" s="1" t="s">
        <v>125</v>
      </c>
      <c r="C32" s="2"/>
      <c r="G32" s="2"/>
    </row>
    <row r="33" customFormat="false" ht="12.75" hidden="false" customHeight="true" outlineLevel="0" collapsed="false">
      <c r="A33" s="1" t="s">
        <v>126</v>
      </c>
      <c r="C33" s="2"/>
      <c r="G33" s="2"/>
    </row>
    <row r="34" customFormat="false" ht="12.75" hidden="false" customHeight="true" outlineLevel="0" collapsed="false"/>
    <row r="35" customFormat="false" ht="12.75" hidden="false" customHeight="true" outlineLevel="0" collapsed="false">
      <c r="C35" s="2"/>
    </row>
    <row r="36" customFormat="false" ht="12.75" hidden="false" customHeight="true" outlineLevel="0" collapsed="false">
      <c r="A36" s="1" t="s">
        <v>127</v>
      </c>
      <c r="C36" s="2"/>
      <c r="G36" s="2"/>
    </row>
    <row r="37" customFormat="false" ht="12.75" hidden="false" customHeight="true" outlineLevel="0" collapsed="false">
      <c r="A37" s="1" t="s">
        <v>128</v>
      </c>
      <c r="C37" s="2"/>
      <c r="G37" s="2"/>
    </row>
    <row r="38" customFormat="false" ht="12.75" hidden="false" customHeight="true" outlineLevel="0" collapsed="false">
      <c r="A38" s="1" t="s">
        <v>129</v>
      </c>
      <c r="C38" s="2"/>
      <c r="G38" s="2"/>
    </row>
    <row r="39" customFormat="false" ht="12.75" hidden="false" customHeight="true" outlineLevel="0" collapsed="false">
      <c r="A39" s="1" t="s">
        <v>130</v>
      </c>
      <c r="C39" s="2"/>
      <c r="G39" s="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 &amp;Kffffff&amp;A</oddHeader>
    <oddFooter>&amp;C&amp;"Times New Roman,Regular"&amp;12 &amp;KffffffPage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P1048576"/>
  <sheetViews>
    <sheetView showFormulas="false" showGridLines="true" showRowColHeaders="true" showZeros="true" rightToLeft="false" tabSelected="false" showOutlineSymbols="true" defaultGridColor="true" view="normal" topLeftCell="A16" colorId="64" zoomScale="75" zoomScaleNormal="75" zoomScalePageLayoutView="100" workbookViewId="0">
      <selection pane="topLeft" activeCell="AG57" activeCellId="0" sqref="AG57"/>
    </sheetView>
  </sheetViews>
  <sheetFormatPr defaultColWidth="12.40625" defaultRowHeight="12.75" zeroHeight="false" outlineLevelRow="0" outlineLevelCol="0"/>
  <cols>
    <col collapsed="false" customWidth="true" hidden="false" outlineLevel="0" max="1" min="1" style="3" width="11.69"/>
    <col collapsed="false" customWidth="true" hidden="false" outlineLevel="0" max="2" min="2" style="2" width="25.52"/>
    <col collapsed="false" customWidth="true" hidden="false" outlineLevel="0" max="3" min="3" style="2" width="7.65"/>
    <col collapsed="false" customWidth="true" hidden="false" outlineLevel="0" max="6" min="4" style="1" width="5.1"/>
    <col collapsed="false" customWidth="true" hidden="false" outlineLevel="0" max="9" min="9" style="2" width="25.52"/>
    <col collapsed="false" customWidth="true" hidden="false" outlineLevel="0" max="10" min="10" style="2" width="7.65"/>
    <col collapsed="false" customWidth="true" hidden="false" outlineLevel="0" max="13" min="11" style="1" width="5.1"/>
    <col collapsed="false" customWidth="true" hidden="false" outlineLevel="0" max="16" min="16" style="2" width="25.52"/>
    <col collapsed="false" customWidth="true" hidden="false" outlineLevel="0" max="17" min="17" style="2" width="7.65"/>
    <col collapsed="false" customWidth="true" hidden="false" outlineLevel="0" max="20" min="18" style="1" width="5.1"/>
    <col collapsed="false" customWidth="true" hidden="false" outlineLevel="0" max="23" min="23" style="2" width="25.52"/>
    <col collapsed="false" customWidth="true" hidden="false" outlineLevel="0" max="24" min="24" style="2" width="7.65"/>
    <col collapsed="false" customWidth="true" hidden="false" outlineLevel="0" max="27" min="25" style="2" width="5.1"/>
    <col collapsed="false" customWidth="true" hidden="false" outlineLevel="0" max="30" min="30" style="2" width="25.52"/>
    <col collapsed="false" customWidth="true" hidden="false" outlineLevel="0" max="31" min="31" style="2" width="7.65"/>
    <col collapsed="false" customWidth="true" hidden="false" outlineLevel="0" max="34" min="32" style="2" width="5.1"/>
    <col collapsed="false" customWidth="true" hidden="false" outlineLevel="0" max="37" min="37" style="2" width="25.52"/>
    <col collapsed="false" customWidth="true" hidden="false" outlineLevel="0" max="38" min="38" style="2" width="7.65"/>
    <col collapsed="false" customWidth="true" hidden="false" outlineLevel="0" max="41" min="39" style="2" width="5.1"/>
  </cols>
  <sheetData>
    <row r="1" customFormat="false" ht="12.75" hidden="false" customHeight="true" outlineLevel="0" collapsed="false">
      <c r="A1" s="12" t="s">
        <v>131</v>
      </c>
      <c r="B1" s="0"/>
      <c r="C1" s="13"/>
      <c r="D1" s="14"/>
      <c r="E1" s="14"/>
      <c r="F1" s="14"/>
      <c r="G1" s="13"/>
      <c r="H1" s="13"/>
      <c r="I1" s="13"/>
      <c r="J1" s="13"/>
      <c r="K1" s="14"/>
      <c r="L1" s="14"/>
      <c r="M1" s="14"/>
      <c r="N1" s="13"/>
      <c r="O1" s="13"/>
      <c r="P1" s="13"/>
      <c r="Q1" s="13"/>
      <c r="R1" s="14"/>
      <c r="S1" s="14"/>
      <c r="T1" s="15"/>
    </row>
    <row r="2" customFormat="false" ht="12.75" hidden="false" customHeight="true" outlineLevel="0" collapsed="false">
      <c r="A2" s="12"/>
      <c r="G2" s="2"/>
      <c r="H2" s="2"/>
      <c r="N2" s="2"/>
      <c r="O2" s="2"/>
      <c r="T2" s="16"/>
    </row>
    <row r="3" customFormat="false" ht="13.5" hidden="false" customHeight="true" outlineLevel="0" collapsed="false">
      <c r="A3" s="12"/>
      <c r="B3" s="17" t="str">
        <f aca="false">VLOOKUP("a1", quali_results!$A$1:$C$40,2,0)</f>
        <v>NOT AVAILABLE YET</v>
      </c>
      <c r="C3" s="17" t="n">
        <f aca="false">VLOOKUP("a1", quali_results!$A$1:$C$40,3,0)</f>
        <v>0</v>
      </c>
      <c r="D3" s="18"/>
      <c r="E3" s="19"/>
      <c r="F3" s="19"/>
      <c r="G3" s="20" t="n">
        <f aca="false">SUM(D3&gt;D4,E3&gt;E4,F3&gt;F4)</f>
        <v>0</v>
      </c>
      <c r="H3" s="20"/>
      <c r="I3" s="20"/>
      <c r="J3" s="20"/>
      <c r="K3" s="21"/>
      <c r="L3" s="21"/>
      <c r="M3" s="21"/>
      <c r="T3" s="16"/>
    </row>
    <row r="4" customFormat="false" ht="13.5" hidden="false" customHeight="true" outlineLevel="0" collapsed="false">
      <c r="A4" s="12"/>
      <c r="B4" s="22" t="n">
        <f aca="false">VLOOKUP("c2", quali_results!$A$1:$C$40,2,0)</f>
        <v>0</v>
      </c>
      <c r="C4" s="22" t="n">
        <f aca="false">VLOOKUP("c2", quali_results!$A$1:$C$40,3,0)</f>
        <v>0</v>
      </c>
      <c r="D4" s="23"/>
      <c r="E4" s="19"/>
      <c r="F4" s="19"/>
      <c r="G4" s="24" t="n">
        <f aca="false">SUM(D3&lt;D4,E3&lt;E4,F3&lt;F4)</f>
        <v>0</v>
      </c>
      <c r="H4" s="20"/>
      <c r="I4" s="20"/>
      <c r="J4" s="20"/>
      <c r="K4" s="21"/>
      <c r="L4" s="21"/>
      <c r="M4" s="21"/>
      <c r="T4" s="16"/>
    </row>
    <row r="5" customFormat="false" ht="13.5" hidden="false" customHeight="true" outlineLevel="0" collapsed="false">
      <c r="A5" s="12"/>
      <c r="B5" s="20"/>
      <c r="C5" s="20"/>
      <c r="D5" s="21"/>
      <c r="E5" s="21"/>
      <c r="F5" s="21"/>
      <c r="G5" s="25"/>
      <c r="H5" s="26"/>
      <c r="I5" s="17" t="str">
        <f aca="false">IF($G3&gt;$G4,B3,IF($G3&lt;$G4,B4,""))</f>
        <v/>
      </c>
      <c r="J5" s="17" t="str">
        <f aca="false">IF($G3&gt;$G4,C3,IF($G3&lt;$G4,C4,""))</f>
        <v/>
      </c>
      <c r="K5" s="18"/>
      <c r="L5" s="19"/>
      <c r="M5" s="19"/>
      <c r="N5" s="26" t="n">
        <f aca="false">SUM(K5&gt;K6,L5&gt;L6,M5&gt;M6)</f>
        <v>0</v>
      </c>
      <c r="T5" s="16"/>
    </row>
    <row r="6" customFormat="false" ht="13.5" hidden="false" customHeight="true" outlineLevel="0" collapsed="false">
      <c r="A6" s="12"/>
      <c r="B6" s="20"/>
      <c r="C6" s="20"/>
      <c r="D6" s="21"/>
      <c r="E6" s="21"/>
      <c r="F6" s="21"/>
      <c r="G6" s="25"/>
      <c r="H6" s="20"/>
      <c r="I6" s="22" t="str">
        <f aca="false">IF($G7&gt;$G8,B7,IF($G7&lt;$G8,B8,""))</f>
        <v/>
      </c>
      <c r="J6" s="22" t="str">
        <f aca="false">IF($G7&gt;$G8,C7,IF($G7&lt;$G8,C8,""))</f>
        <v/>
      </c>
      <c r="K6" s="23"/>
      <c r="L6" s="19"/>
      <c r="M6" s="19"/>
      <c r="N6" s="25" t="n">
        <f aca="false">SUM(K5&lt;K6,L5&lt;L6,M5&lt;M6)</f>
        <v>0</v>
      </c>
      <c r="T6" s="16"/>
    </row>
    <row r="7" customFormat="false" ht="13.5" hidden="false" customHeight="true" outlineLevel="0" collapsed="false">
      <c r="A7" s="12"/>
      <c r="B7" s="17" t="n">
        <f aca="false">VLOOKUP("a2", quali_results!$A$1:$C$40,2,0)</f>
        <v>0</v>
      </c>
      <c r="C7" s="17" t="n">
        <f aca="false">VLOOKUP("a2", quali_results!$A$1:$C$40,3,0)</f>
        <v>0</v>
      </c>
      <c r="D7" s="18"/>
      <c r="E7" s="19"/>
      <c r="F7" s="19"/>
      <c r="G7" s="27" t="n">
        <f aca="false">SUM(D7&gt;D8,E7&gt;E8,F7&gt;F8)</f>
        <v>0</v>
      </c>
      <c r="H7" s="20"/>
      <c r="I7" s="20"/>
      <c r="J7" s="20"/>
      <c r="K7" s="21"/>
      <c r="L7" s="21"/>
      <c r="M7" s="21"/>
      <c r="N7" s="25"/>
      <c r="P7" s="20"/>
      <c r="Q7" s="20"/>
      <c r="R7" s="21"/>
      <c r="S7" s="21"/>
      <c r="T7" s="28"/>
    </row>
    <row r="8" customFormat="false" ht="13.5" hidden="false" customHeight="true" outlineLevel="0" collapsed="false">
      <c r="A8" s="12"/>
      <c r="B8" s="22" t="n">
        <f aca="false">VLOOKUP("c1", quali_results!$A$1:$C$40,2,0)</f>
        <v>0</v>
      </c>
      <c r="C8" s="22" t="n">
        <f aca="false">VLOOKUP("c1", quali_results!$A$1:$C$40,3,0)</f>
        <v>0</v>
      </c>
      <c r="D8" s="23"/>
      <c r="E8" s="19"/>
      <c r="F8" s="19"/>
      <c r="G8" s="20" t="n">
        <f aca="false">SUM(D7&lt;D8,E7&lt;E8,F7&lt;F8)</f>
        <v>0</v>
      </c>
      <c r="H8" s="20"/>
      <c r="I8" s="20"/>
      <c r="J8" s="20"/>
      <c r="K8" s="21"/>
      <c r="L8" s="21"/>
      <c r="M8" s="21"/>
      <c r="N8" s="25"/>
      <c r="O8" s="26"/>
      <c r="P8" s="17" t="str">
        <f aca="false">IF($N5&gt;$N6,I5,IF($N5&lt;$N6,I6,""))</f>
        <v/>
      </c>
      <c r="Q8" s="17" t="str">
        <f aca="false">IF($N5&gt;$N6,J5,IF($N5&lt;$N6,J6,""))</f>
        <v/>
      </c>
      <c r="R8" s="18"/>
      <c r="S8" s="19"/>
      <c r="T8" s="19"/>
      <c r="U8" s="2" t="n">
        <f aca="false">SUM(R8&gt;R9,S8&gt;S9,T8&gt;T9)</f>
        <v>0</v>
      </c>
    </row>
    <row r="9" customFormat="false" ht="13.5" hidden="false" customHeight="true" outlineLevel="0" collapsed="false">
      <c r="A9" s="12"/>
      <c r="N9" s="25"/>
      <c r="P9" s="22" t="str">
        <f aca="false">IF($N13&gt;$N14,I13,IF($N13&lt;$N14,I14,""))</f>
        <v/>
      </c>
      <c r="Q9" s="22" t="str">
        <f aca="false">IF($N13&gt;$N14,J13,IF($N13&lt;$N14,J14,""))</f>
        <v/>
      </c>
      <c r="R9" s="23"/>
      <c r="S9" s="19"/>
      <c r="T9" s="19"/>
      <c r="U9" s="2" t="n">
        <f aca="false">SUM(R8&lt;R9,S8&lt;S9,T8&lt;T9)</f>
        <v>0</v>
      </c>
    </row>
    <row r="10" customFormat="false" ht="13.5" hidden="false" customHeight="true" outlineLevel="0" collapsed="false">
      <c r="A10" s="12"/>
      <c r="N10" s="25"/>
      <c r="P10" s="20"/>
      <c r="Q10" s="20"/>
      <c r="R10" s="21"/>
      <c r="S10" s="21"/>
      <c r="T10" s="28"/>
    </row>
    <row r="11" customFormat="false" ht="13.5" hidden="false" customHeight="true" outlineLevel="0" collapsed="false">
      <c r="A11" s="12"/>
      <c r="B11" s="17" t="n">
        <f aca="false">VLOOKUP("b1", quali_results!$A$1:$C$40,2,0)</f>
        <v>0</v>
      </c>
      <c r="C11" s="17" t="n">
        <f aca="false">VLOOKUP("b1", quali_results!$A$1:$C$40,3,0)</f>
        <v>0</v>
      </c>
      <c r="D11" s="18"/>
      <c r="E11" s="19"/>
      <c r="F11" s="19"/>
      <c r="G11" s="20" t="n">
        <f aca="false">SUM(D11&gt;D12,E11&gt;E12,F11&gt;F12)</f>
        <v>0</v>
      </c>
      <c r="H11" s="20"/>
      <c r="I11" s="20"/>
      <c r="J11" s="20"/>
      <c r="K11" s="21"/>
      <c r="L11" s="21"/>
      <c r="M11" s="21"/>
      <c r="N11" s="25"/>
      <c r="O11" s="26"/>
      <c r="P11" s="17" t="str">
        <f aca="false">IF($N5&gt;$N6,I6,IF($N5&lt;$N6,I5,""))</f>
        <v/>
      </c>
      <c r="Q11" s="17" t="str">
        <f aca="false">IF($N5&gt;$N6,J6,IF($N5&lt;$N6,J5,""))</f>
        <v/>
      </c>
      <c r="R11" s="18"/>
      <c r="S11" s="19"/>
      <c r="T11" s="19"/>
      <c r="U11" s="2" t="n">
        <f aca="false">SUM(R11&gt;R12,S11&gt;S12,T11&gt;T12)</f>
        <v>0</v>
      </c>
    </row>
    <row r="12" customFormat="false" ht="13.5" hidden="false" customHeight="true" outlineLevel="0" collapsed="false">
      <c r="A12" s="12"/>
      <c r="B12" s="22" t="n">
        <f aca="false">VLOOKUP("d2", quali_results!$A$1:$C$40,2,0)</f>
        <v>0</v>
      </c>
      <c r="C12" s="22" t="n">
        <f aca="false">VLOOKUP("d2", quali_results!$A$1:$C$40,3,0)</f>
        <v>0</v>
      </c>
      <c r="D12" s="23"/>
      <c r="E12" s="19"/>
      <c r="F12" s="19"/>
      <c r="G12" s="24" t="n">
        <f aca="false">SUM(D11&lt;D12,E11&lt;E12,F11&lt;F12)</f>
        <v>0</v>
      </c>
      <c r="H12" s="20"/>
      <c r="I12" s="20"/>
      <c r="J12" s="20"/>
      <c r="K12" s="21"/>
      <c r="L12" s="21"/>
      <c r="M12" s="21"/>
      <c r="N12" s="25"/>
      <c r="P12" s="22" t="str">
        <f aca="false">IF($N13&gt;$N14,I14,IF($N13&lt;$N14,I13,""))</f>
        <v/>
      </c>
      <c r="Q12" s="22" t="str">
        <f aca="false">IF($N13&gt;$N14,J14,IF($N13&lt;$N14,J13,""))</f>
        <v/>
      </c>
      <c r="R12" s="23"/>
      <c r="S12" s="19"/>
      <c r="T12" s="19"/>
      <c r="U12" s="2" t="n">
        <f aca="false">SUM(R11&lt;R12,S11&lt;S12,T11&lt;T12)</f>
        <v>0</v>
      </c>
    </row>
    <row r="13" customFormat="false" ht="13.5" hidden="false" customHeight="true" outlineLevel="0" collapsed="false">
      <c r="A13" s="12"/>
      <c r="B13" s="20"/>
      <c r="C13" s="20"/>
      <c r="D13" s="21"/>
      <c r="E13" s="21"/>
      <c r="F13" s="21"/>
      <c r="G13" s="25"/>
      <c r="H13" s="26"/>
      <c r="I13" s="17" t="str">
        <f aca="false">IF($G11&gt;$G12,B11,IF($G11&lt;$G12,B12,""))</f>
        <v/>
      </c>
      <c r="J13" s="17" t="str">
        <f aca="false">IF($G11&gt;$G12,C11,IF($G11&lt;$G12,C12,""))</f>
        <v/>
      </c>
      <c r="K13" s="18"/>
      <c r="L13" s="19"/>
      <c r="M13" s="19"/>
      <c r="N13" s="27" t="n">
        <f aca="false">SUM(K13&gt;K14,L13&gt;L14,M13&gt;M14)</f>
        <v>0</v>
      </c>
      <c r="P13" s="20"/>
      <c r="Q13" s="20"/>
      <c r="R13" s="21"/>
      <c r="S13" s="21"/>
      <c r="T13" s="28"/>
    </row>
    <row r="14" customFormat="false" ht="13.5" hidden="false" customHeight="true" outlineLevel="0" collapsed="false">
      <c r="A14" s="12"/>
      <c r="B14" s="20"/>
      <c r="C14" s="20"/>
      <c r="D14" s="21"/>
      <c r="E14" s="21"/>
      <c r="F14" s="21"/>
      <c r="G14" s="25"/>
      <c r="H14" s="20"/>
      <c r="I14" s="22" t="str">
        <f aca="false">IF($G15&gt;$G16,B15,IF($G15&lt;$G16,B16,""))</f>
        <v/>
      </c>
      <c r="J14" s="22" t="str">
        <f aca="false">IF($G15&gt;$G16,C15,IF($G15&lt;$G16,C16,""))</f>
        <v/>
      </c>
      <c r="K14" s="23"/>
      <c r="L14" s="19"/>
      <c r="M14" s="19"/>
      <c r="N14" s="2" t="n">
        <f aca="false">SUM(K13&lt;K14,L13&lt;L14,M13&lt;M14)</f>
        <v>0</v>
      </c>
      <c r="T14" s="16"/>
    </row>
    <row r="15" customFormat="false" ht="13.5" hidden="false" customHeight="true" outlineLevel="0" collapsed="false">
      <c r="A15" s="12"/>
      <c r="B15" s="17" t="n">
        <f aca="false">VLOOKUP("b2", quali_results!$A$1:$C$40,2,0)</f>
        <v>0</v>
      </c>
      <c r="C15" s="17" t="n">
        <f aca="false">VLOOKUP("b2", quali_results!$A$1:$C$40,3,0)</f>
        <v>0</v>
      </c>
      <c r="D15" s="18"/>
      <c r="E15" s="19"/>
      <c r="F15" s="19"/>
      <c r="G15" s="27" t="n">
        <f aca="false">SUM(D15&gt;D16,E15&gt;E16,F15&gt;F16)</f>
        <v>0</v>
      </c>
      <c r="H15" s="20"/>
      <c r="I15" s="20"/>
      <c r="J15" s="20"/>
      <c r="K15" s="21"/>
      <c r="L15" s="21"/>
      <c r="M15" s="21"/>
      <c r="T15" s="16"/>
    </row>
    <row r="16" customFormat="false" ht="13.5" hidden="false" customHeight="true" outlineLevel="0" collapsed="false">
      <c r="A16" s="12"/>
      <c r="B16" s="22" t="n">
        <f aca="false">VLOOKUP("d1", quali_results!$A$1:$C$40,2,0)</f>
        <v>0</v>
      </c>
      <c r="C16" s="22" t="n">
        <f aca="false">VLOOKUP("d1", quali_results!$A$1:$C$40,3,0)</f>
        <v>0</v>
      </c>
      <c r="D16" s="23"/>
      <c r="E16" s="19"/>
      <c r="F16" s="19"/>
      <c r="G16" s="20" t="n">
        <f aca="false">SUM(D15&lt;D16,E15&lt;E16,F15&lt;F16)</f>
        <v>0</v>
      </c>
      <c r="H16" s="20"/>
      <c r="I16" s="20"/>
      <c r="J16" s="20"/>
      <c r="K16" s="21"/>
      <c r="L16" s="21"/>
      <c r="M16" s="21"/>
      <c r="T16" s="16"/>
    </row>
    <row r="17" customFormat="false" ht="12.75" hidden="false" customHeight="true" outlineLevel="0" collapsed="false">
      <c r="A17" s="12"/>
      <c r="T17" s="16"/>
    </row>
    <row r="18" customFormat="false" ht="12.75" hidden="false" customHeight="true" outlineLevel="0" collapsed="false">
      <c r="A18" s="12"/>
      <c r="B18" s="29"/>
      <c r="C18" s="29"/>
      <c r="D18" s="30"/>
      <c r="E18" s="30"/>
      <c r="F18" s="30"/>
      <c r="G18" s="29"/>
      <c r="H18" s="29"/>
      <c r="I18" s="29"/>
      <c r="J18" s="29"/>
      <c r="K18" s="30"/>
      <c r="L18" s="30"/>
      <c r="M18" s="30"/>
      <c r="N18" s="29"/>
      <c r="O18" s="29"/>
      <c r="P18" s="29"/>
      <c r="Q18" s="29"/>
      <c r="R18" s="30"/>
      <c r="S18" s="30"/>
      <c r="T18" s="31"/>
    </row>
    <row r="19" customFormat="false" ht="12.75" hidden="false" customHeight="true" outlineLevel="0" collapsed="false">
      <c r="A19" s="12" t="s">
        <v>132</v>
      </c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32"/>
    </row>
    <row r="20" customFormat="false" ht="12.75" hidden="false" customHeight="true" outlineLevel="0" collapsed="false">
      <c r="A20" s="12"/>
      <c r="Y20" s="1"/>
      <c r="Z20" s="1"/>
      <c r="AA20" s="1"/>
      <c r="AF20" s="1"/>
      <c r="AG20" s="1"/>
      <c r="AH20" s="1"/>
      <c r="AI20" s="33"/>
    </row>
    <row r="21" customFormat="false" ht="13.5" hidden="false" customHeight="true" outlineLevel="0" collapsed="false">
      <c r="A21" s="12"/>
      <c r="K21" s="2"/>
      <c r="L21" s="2"/>
      <c r="M21" s="2"/>
      <c r="P21" s="17" t="n">
        <f aca="false">VLOOKUP("a3", quali_results!$A$1:$C$40,2,0)</f>
        <v>0</v>
      </c>
      <c r="Q21" s="17" t="n">
        <f aca="false">VLOOKUP("a3", quali_results!$A$1:$C$40,3,0)</f>
        <v>0</v>
      </c>
      <c r="R21" s="18"/>
      <c r="S21" s="19"/>
      <c r="T21" s="19"/>
      <c r="U21" s="20" t="n">
        <f aca="false">SUM(R21&gt;R22,S21&gt;S22,T21&gt;T22)</f>
        <v>0</v>
      </c>
      <c r="V21" s="20"/>
      <c r="W21" s="20"/>
      <c r="X21" s="20"/>
      <c r="Y21" s="21"/>
      <c r="Z21" s="21"/>
      <c r="AA21" s="21"/>
      <c r="AF21" s="1"/>
      <c r="AG21" s="1"/>
      <c r="AH21" s="1"/>
      <c r="AI21" s="33"/>
    </row>
    <row r="22" customFormat="false" ht="13.5" hidden="false" customHeight="true" outlineLevel="0" collapsed="false">
      <c r="A22" s="12"/>
      <c r="K22" s="2"/>
      <c r="L22" s="2"/>
      <c r="M22" s="2"/>
      <c r="P22" s="22" t="str">
        <f aca="false">IF($G11&gt;$G12,B12,IF($G11&lt;$G12,B11,""))</f>
        <v/>
      </c>
      <c r="Q22" s="22" t="str">
        <f aca="false">IF($G11&gt;$G12,C12,IF($G11&lt;$G12,C11,""))</f>
        <v/>
      </c>
      <c r="R22" s="23"/>
      <c r="S22" s="19"/>
      <c r="T22" s="19"/>
      <c r="U22" s="24" t="n">
        <f aca="false">SUM(R21&lt;R22,S21&lt;S22,T21&lt;T22)</f>
        <v>0</v>
      </c>
      <c r="V22" s="20"/>
      <c r="W22" s="20"/>
      <c r="X22" s="20"/>
      <c r="Y22" s="21"/>
      <c r="Z22" s="21"/>
      <c r="AA22" s="21"/>
      <c r="AF22" s="1"/>
      <c r="AG22" s="1"/>
      <c r="AH22" s="1"/>
      <c r="AI22" s="33"/>
    </row>
    <row r="23" customFormat="false" ht="13.5" hidden="false" customHeight="true" outlineLevel="0" collapsed="false">
      <c r="A23" s="12"/>
      <c r="K23" s="2"/>
      <c r="L23" s="2"/>
      <c r="M23" s="2"/>
      <c r="P23" s="20"/>
      <c r="Q23" s="20"/>
      <c r="R23" s="21"/>
      <c r="S23" s="21"/>
      <c r="T23" s="21"/>
      <c r="U23" s="25"/>
      <c r="V23" s="26"/>
      <c r="W23" s="17" t="str">
        <f aca="false">IF($U21&gt;$U22,P21,IF($U21&lt;$U22,P22,""))</f>
        <v/>
      </c>
      <c r="X23" s="17" t="str">
        <f aca="false">IF($U21&gt;$U22,Q21,IF($U21&lt;$U22,Q22,""))</f>
        <v/>
      </c>
      <c r="Y23" s="18"/>
      <c r="Z23" s="19"/>
      <c r="AA23" s="19"/>
      <c r="AB23" s="26" t="n">
        <f aca="false">SUM(Y23&gt;Y24,Z23&gt;Z24,AA23&gt;AA24)</f>
        <v>0</v>
      </c>
      <c r="AF23" s="1"/>
      <c r="AG23" s="1"/>
      <c r="AH23" s="1"/>
      <c r="AI23" s="33"/>
    </row>
    <row r="24" customFormat="false" ht="13.5" hidden="false" customHeight="true" outlineLevel="0" collapsed="false">
      <c r="A24" s="12"/>
      <c r="K24" s="2"/>
      <c r="L24" s="2"/>
      <c r="M24" s="2"/>
      <c r="P24" s="20"/>
      <c r="Q24" s="20"/>
      <c r="R24" s="21"/>
      <c r="S24" s="21"/>
      <c r="T24" s="21"/>
      <c r="U24" s="25"/>
      <c r="V24" s="20"/>
      <c r="W24" s="22" t="str">
        <f aca="false">IF($U25&gt;$U26,P25,IF($U25&lt;$U26,P26,""))</f>
        <v/>
      </c>
      <c r="X24" s="22" t="str">
        <f aca="false">IF($U25&gt;$U26,Q25,IF($U25&lt;$U26,Q26,""))</f>
        <v/>
      </c>
      <c r="Y24" s="23"/>
      <c r="Z24" s="19"/>
      <c r="AA24" s="19"/>
      <c r="AB24" s="25" t="n">
        <f aca="false">SUM(Y23&lt;Y24,Z23&lt;Z24,AA23&lt;AA24)</f>
        <v>0</v>
      </c>
      <c r="AF24" s="1"/>
      <c r="AG24" s="1"/>
      <c r="AH24" s="1"/>
      <c r="AI24" s="33"/>
    </row>
    <row r="25" customFormat="false" ht="13.5" hidden="false" customHeight="true" outlineLevel="0" collapsed="false">
      <c r="A25" s="12"/>
      <c r="K25" s="2"/>
      <c r="L25" s="2"/>
      <c r="M25" s="2"/>
      <c r="P25" s="17" t="n">
        <f aca="false">VLOOKUP("b3", quali_results!$A$1:$C$40,2,0)</f>
        <v>0</v>
      </c>
      <c r="Q25" s="17" t="n">
        <f aca="false">VLOOKUP("b3", quali_results!$A$1:$C$40,3,0)</f>
        <v>0</v>
      </c>
      <c r="R25" s="18"/>
      <c r="S25" s="19"/>
      <c r="T25" s="19"/>
      <c r="U25" s="27" t="n">
        <f aca="false">SUM(R25&gt;R26,S25&gt;S26,T25&gt;T26)</f>
        <v>0</v>
      </c>
      <c r="V25" s="20"/>
      <c r="W25" s="20"/>
      <c r="X25" s="20"/>
      <c r="Y25" s="21"/>
      <c r="Z25" s="21"/>
      <c r="AA25" s="21"/>
      <c r="AB25" s="25"/>
      <c r="AD25" s="20"/>
      <c r="AE25" s="20"/>
      <c r="AF25" s="21"/>
      <c r="AG25" s="21"/>
      <c r="AH25" s="21"/>
      <c r="AI25" s="33"/>
    </row>
    <row r="26" customFormat="false" ht="13.5" hidden="false" customHeight="true" outlineLevel="0" collapsed="false">
      <c r="A26" s="12"/>
      <c r="K26" s="2"/>
      <c r="L26" s="2"/>
      <c r="M26" s="2"/>
      <c r="P26" s="22" t="str">
        <f aca="false">IF($G3&gt;$G4,B4,IF($G3&lt;$G4,B3,""))</f>
        <v/>
      </c>
      <c r="Q26" s="22" t="str">
        <f aca="false">IF($G3&gt;$G4,C4,IF($G3&lt;$G4,C3,""))</f>
        <v/>
      </c>
      <c r="R26" s="23"/>
      <c r="S26" s="19"/>
      <c r="T26" s="19"/>
      <c r="U26" s="20" t="n">
        <f aca="false">SUM(R25&lt;R26,S25&lt;S26,T25&lt;T26)</f>
        <v>0</v>
      </c>
      <c r="V26" s="20"/>
      <c r="W26" s="20"/>
      <c r="X26" s="20"/>
      <c r="Y26" s="21"/>
      <c r="Z26" s="21"/>
      <c r="AA26" s="21"/>
      <c r="AB26" s="25"/>
      <c r="AC26" s="26"/>
      <c r="AD26" s="17" t="str">
        <f aca="false">IF($AB23&gt;$AB24,W23,IF($AB23&lt;$AB24,W24,""))</f>
        <v/>
      </c>
      <c r="AE26" s="17" t="str">
        <f aca="false">IF($AB23&gt;$AB24,X23,IF($AB23&lt;$AB24,X24,""))</f>
        <v/>
      </c>
      <c r="AF26" s="18"/>
      <c r="AG26" s="19"/>
      <c r="AH26" s="19"/>
      <c r="AI26" s="33" t="n">
        <f aca="false">SUM(AF26&gt;AF27,AG26&gt;AG27,AH26&gt;AH27)</f>
        <v>0</v>
      </c>
    </row>
    <row r="27" customFormat="false" ht="13.5" hidden="false" customHeight="true" outlineLevel="0" collapsed="false">
      <c r="A27" s="12"/>
      <c r="K27" s="2"/>
      <c r="L27" s="2"/>
      <c r="M27" s="2"/>
      <c r="Y27" s="1"/>
      <c r="Z27" s="1"/>
      <c r="AA27" s="1"/>
      <c r="AB27" s="25"/>
      <c r="AD27" s="22" t="str">
        <f aca="false">IF($AB31&gt;$AB32,W31,IF($AB31&lt;$AB32,W32,""))</f>
        <v/>
      </c>
      <c r="AE27" s="22" t="str">
        <f aca="false">IF($AB31&gt;$AB32,X31,IF($AB31&lt;$AB32,X32,""))</f>
        <v/>
      </c>
      <c r="AF27" s="23"/>
      <c r="AG27" s="19"/>
      <c r="AH27" s="19"/>
      <c r="AI27" s="33" t="n">
        <f aca="false">SUM(AF26&lt;AF27,AG26&lt;AG27,AH26&lt;AH27)</f>
        <v>0</v>
      </c>
    </row>
    <row r="28" customFormat="false" ht="13.5" hidden="false" customHeight="true" outlineLevel="0" collapsed="false">
      <c r="A28" s="12"/>
      <c r="K28" s="2"/>
      <c r="L28" s="2"/>
      <c r="M28" s="2"/>
      <c r="Y28" s="1"/>
      <c r="Z28" s="1"/>
      <c r="AA28" s="1"/>
      <c r="AB28" s="25"/>
      <c r="AD28" s="20"/>
      <c r="AE28" s="20"/>
      <c r="AF28" s="21"/>
      <c r="AG28" s="21"/>
      <c r="AH28" s="28"/>
      <c r="AI28" s="33"/>
    </row>
    <row r="29" customFormat="false" ht="13.5" hidden="false" customHeight="true" outlineLevel="0" collapsed="false">
      <c r="A29" s="12"/>
      <c r="K29" s="2"/>
      <c r="L29" s="2"/>
      <c r="M29" s="2"/>
      <c r="P29" s="17" t="n">
        <f aca="false">VLOOKUP("c3", quali_results!$A$1:$C$40,2,0)</f>
        <v>0</v>
      </c>
      <c r="Q29" s="17" t="n">
        <f aca="false">VLOOKUP("c3", quali_results!$A$1:$C$40,3,0)</f>
        <v>0</v>
      </c>
      <c r="R29" s="18"/>
      <c r="S29" s="19"/>
      <c r="T29" s="19"/>
      <c r="U29" s="20" t="n">
        <f aca="false">SUM(R29&gt;R30,S29&gt;S30,T29&gt;T30)</f>
        <v>0</v>
      </c>
      <c r="V29" s="20"/>
      <c r="W29" s="20"/>
      <c r="X29" s="20"/>
      <c r="Y29" s="21"/>
      <c r="Z29" s="21"/>
      <c r="AA29" s="21"/>
      <c r="AB29" s="25"/>
      <c r="AC29" s="26"/>
      <c r="AD29" s="17" t="str">
        <f aca="false">IF($AB23&gt;$AB24,W24,IF($AB23&lt;$AB24,W23,""))</f>
        <v/>
      </c>
      <c r="AE29" s="17" t="str">
        <f aca="false">IF($AB23&gt;$AB24,X24,IF($AB23&lt;$AB24,X23,""))</f>
        <v/>
      </c>
      <c r="AF29" s="18"/>
      <c r="AG29" s="19"/>
      <c r="AH29" s="19"/>
      <c r="AI29" s="33" t="n">
        <f aca="false">SUM(AF29&gt;AF30,AG29&gt;AG30,AH29&gt;AH30)</f>
        <v>0</v>
      </c>
    </row>
    <row r="30" customFormat="false" ht="13.5" hidden="false" customHeight="true" outlineLevel="0" collapsed="false">
      <c r="A30" s="12"/>
      <c r="K30" s="2"/>
      <c r="L30" s="2"/>
      <c r="M30" s="2"/>
      <c r="P30" s="22" t="str">
        <f aca="false">IF($G15&gt;$G16,B16,IF($G15&lt;$G16,B15,""))</f>
        <v/>
      </c>
      <c r="Q30" s="22" t="str">
        <f aca="false">IF($G15&gt;$G16,C16,IF($G15&lt;$G16,C15,""))</f>
        <v/>
      </c>
      <c r="R30" s="22"/>
      <c r="S30" s="19"/>
      <c r="T30" s="19"/>
      <c r="U30" s="24" t="n">
        <f aca="false">SUM(R29&lt;R30,S29&lt;S30,T29&lt;T30)</f>
        <v>0</v>
      </c>
      <c r="V30" s="20"/>
      <c r="W30" s="20"/>
      <c r="X30" s="20"/>
      <c r="Y30" s="21"/>
      <c r="Z30" s="21"/>
      <c r="AA30" s="21"/>
      <c r="AB30" s="25"/>
      <c r="AD30" s="22" t="str">
        <f aca="false">IF($AB31&gt;$AB32,W32,IF($AB31&lt;$AB32,W31,""))</f>
        <v/>
      </c>
      <c r="AE30" s="22" t="str">
        <f aca="false">IF($AB31&gt;$AB32,X32,IF($AB31&lt;$AB32,X31,""))</f>
        <v/>
      </c>
      <c r="AF30" s="23"/>
      <c r="AG30" s="19"/>
      <c r="AH30" s="19"/>
      <c r="AI30" s="33" t="n">
        <f aca="false">SUM(AF29&lt;AF30,AG29&lt;AG30,AH29&lt;AH30)</f>
        <v>0</v>
      </c>
    </row>
    <row r="31" customFormat="false" ht="13.5" hidden="false" customHeight="true" outlineLevel="0" collapsed="false">
      <c r="A31" s="12"/>
      <c r="K31" s="2"/>
      <c r="L31" s="2"/>
      <c r="M31" s="2"/>
      <c r="P31" s="20"/>
      <c r="Q31" s="20"/>
      <c r="R31" s="21"/>
      <c r="S31" s="21"/>
      <c r="T31" s="21"/>
      <c r="U31" s="25"/>
      <c r="V31" s="26"/>
      <c r="W31" s="17" t="str">
        <f aca="false">IF($U29&gt;$U30,P29,IF($U29&lt;$U30,P30,""))</f>
        <v/>
      </c>
      <c r="X31" s="17" t="str">
        <f aca="false">IF($U29&gt;$U30,Q29,IF($U29&lt;$U30,Q30,""))</f>
        <v/>
      </c>
      <c r="Y31" s="18"/>
      <c r="Z31" s="19"/>
      <c r="AA31" s="19"/>
      <c r="AB31" s="27" t="n">
        <f aca="false">SUM(Y31&gt;Y32,Z31&gt;Z32,AA31&gt;AA32)</f>
        <v>0</v>
      </c>
      <c r="AD31" s="20"/>
      <c r="AE31" s="20"/>
      <c r="AF31" s="21"/>
      <c r="AG31" s="21"/>
      <c r="AH31" s="21"/>
      <c r="AI31" s="33"/>
    </row>
    <row r="32" customFormat="false" ht="13.5" hidden="false" customHeight="true" outlineLevel="0" collapsed="false">
      <c r="A32" s="12"/>
      <c r="K32" s="2"/>
      <c r="L32" s="2"/>
      <c r="M32" s="2"/>
      <c r="P32" s="20"/>
      <c r="Q32" s="20"/>
      <c r="R32" s="21"/>
      <c r="S32" s="21"/>
      <c r="T32" s="21"/>
      <c r="U32" s="25"/>
      <c r="V32" s="20"/>
      <c r="W32" s="22" t="str">
        <f aca="false">IF($U33&gt;$U34,P33,IF($U33&lt;$U34,P34,""))</f>
        <v/>
      </c>
      <c r="X32" s="22" t="str">
        <f aca="false">IF($U33&gt;$U34,Q33,IF($U33&lt;$U34,Q34,""))</f>
        <v/>
      </c>
      <c r="Y32" s="23"/>
      <c r="Z32" s="19"/>
      <c r="AA32" s="19"/>
      <c r="AB32" s="2" t="n">
        <f aca="false">SUM(Y31&lt;Y32,Z31&lt;Z32,AA31&lt;AA32)</f>
        <v>0</v>
      </c>
      <c r="AF32" s="1"/>
      <c r="AG32" s="1"/>
      <c r="AH32" s="1"/>
      <c r="AI32" s="33"/>
    </row>
    <row r="33" customFormat="false" ht="13.5" hidden="false" customHeight="true" outlineLevel="0" collapsed="false">
      <c r="A33" s="12"/>
      <c r="K33" s="2"/>
      <c r="L33" s="2"/>
      <c r="M33" s="2"/>
      <c r="P33" s="17" t="n">
        <f aca="false">VLOOKUP("d3", quali_results!$A$1:$C$40,2,0)</f>
        <v>0</v>
      </c>
      <c r="Q33" s="17" t="n">
        <f aca="false">VLOOKUP("d3", quali_results!$A$1:$C$40,3,0)</f>
        <v>0</v>
      </c>
      <c r="R33" s="18"/>
      <c r="S33" s="19"/>
      <c r="T33" s="19"/>
      <c r="U33" s="27" t="n">
        <f aca="false">SUM(R33&gt;R34,S33&gt;S34,T33&gt;T34)</f>
        <v>0</v>
      </c>
      <c r="V33" s="20"/>
      <c r="W33" s="20"/>
      <c r="X33" s="20"/>
      <c r="Y33" s="21"/>
      <c r="Z33" s="21"/>
      <c r="AA33" s="21"/>
      <c r="AF33" s="1"/>
      <c r="AG33" s="1"/>
      <c r="AH33" s="1"/>
      <c r="AI33" s="33"/>
    </row>
    <row r="34" customFormat="false" ht="13.5" hidden="false" customHeight="true" outlineLevel="0" collapsed="false">
      <c r="A34" s="12"/>
      <c r="K34" s="2"/>
      <c r="L34" s="2"/>
      <c r="M34" s="2"/>
      <c r="P34" s="22" t="str">
        <f aca="false">IF($G7&gt;$G8,B8,IF($G7&lt;$G8,B7,""))</f>
        <v/>
      </c>
      <c r="Q34" s="22" t="str">
        <f aca="false">IF($G7&gt;$G8,C8,IF($G7&lt;$G8,C7,""))</f>
        <v/>
      </c>
      <c r="R34" s="23"/>
      <c r="S34" s="19"/>
      <c r="T34" s="19"/>
      <c r="U34" s="20" t="n">
        <f aca="false">SUM(R33&lt;R34,S33&lt;S34,T33&lt;T34)</f>
        <v>0</v>
      </c>
      <c r="V34" s="20"/>
      <c r="W34" s="20"/>
      <c r="X34" s="20"/>
      <c r="Y34" s="21"/>
      <c r="Z34" s="21"/>
      <c r="AA34" s="21"/>
      <c r="AF34" s="1"/>
      <c r="AG34" s="1"/>
      <c r="AH34" s="1"/>
      <c r="AI34" s="33"/>
    </row>
    <row r="35" customFormat="false" ht="12.75" hidden="false" customHeight="true" outlineLevel="0" collapsed="false">
      <c r="A35" s="12"/>
      <c r="Y35" s="1"/>
      <c r="Z35" s="1"/>
      <c r="AA35" s="1"/>
      <c r="AF35" s="1"/>
      <c r="AG35" s="1"/>
      <c r="AH35" s="1"/>
      <c r="AI35" s="33"/>
    </row>
    <row r="36" customFormat="false" ht="12.75" hidden="false" customHeight="true" outlineLevel="0" collapsed="false">
      <c r="A36" s="12"/>
      <c r="B36" s="29"/>
      <c r="C36" s="29"/>
      <c r="D36" s="30"/>
      <c r="E36" s="30"/>
      <c r="F36" s="30"/>
      <c r="G36" s="29"/>
      <c r="H36" s="29"/>
      <c r="I36" s="29"/>
      <c r="J36" s="29"/>
      <c r="K36" s="30"/>
      <c r="L36" s="30"/>
      <c r="M36" s="30"/>
      <c r="N36" s="29"/>
      <c r="O36" s="29"/>
      <c r="P36" s="29"/>
      <c r="Q36" s="29"/>
      <c r="R36" s="30"/>
      <c r="S36" s="30"/>
      <c r="T36" s="30"/>
      <c r="U36" s="29"/>
      <c r="V36" s="29"/>
      <c r="W36" s="29"/>
      <c r="X36" s="29"/>
      <c r="Y36" s="29"/>
      <c r="Z36" s="29"/>
      <c r="AA36" s="29"/>
      <c r="AH36" s="29"/>
      <c r="AI36" s="34"/>
    </row>
    <row r="37" customFormat="false" ht="12.75" hidden="false" customHeight="true" outlineLevel="0" collapsed="false">
      <c r="A37" s="12" t="s">
        <v>133</v>
      </c>
      <c r="AB37" s="13"/>
      <c r="AC37" s="13"/>
      <c r="AD37" s="13"/>
      <c r="AE37" s="13"/>
      <c r="AF37" s="13"/>
      <c r="AG37" s="13"/>
      <c r="AJ37" s="13"/>
      <c r="AK37" s="13"/>
      <c r="AL37" s="13"/>
      <c r="AM37" s="13"/>
      <c r="AN37" s="13"/>
      <c r="AO37" s="13"/>
      <c r="AP37" s="32"/>
    </row>
    <row r="38" customFormat="false" ht="12.75" hidden="false" customHeight="true" outlineLevel="0" collapsed="false">
      <c r="A38" s="12"/>
      <c r="R38" s="2"/>
      <c r="S38" s="2"/>
      <c r="T38" s="2"/>
      <c r="Y38" s="1"/>
      <c r="Z38" s="1"/>
      <c r="AA38" s="1"/>
      <c r="AF38" s="1"/>
      <c r="AG38" s="1"/>
      <c r="AH38" s="1"/>
      <c r="AM38" s="1"/>
      <c r="AN38" s="1"/>
      <c r="AO38" s="1"/>
      <c r="AP38" s="33"/>
    </row>
    <row r="39" customFormat="false" ht="13.5" hidden="false" customHeight="true" outlineLevel="0" collapsed="false">
      <c r="A39" s="12"/>
      <c r="R39" s="2"/>
      <c r="S39" s="2"/>
      <c r="T39" s="2"/>
      <c r="W39" s="17" t="n">
        <f aca="false">VLOOKUP("a4", quali_results!$A$1:$C$40,2,0)</f>
        <v>0</v>
      </c>
      <c r="X39" s="17" t="n">
        <f aca="false">VLOOKUP("a4", quali_results!$A$1:$C$40,3,0)</f>
        <v>0</v>
      </c>
      <c r="Y39" s="18"/>
      <c r="Z39" s="19"/>
      <c r="AA39" s="19"/>
      <c r="AB39" s="20" t="n">
        <f aca="false">SUM(Y39&gt;Y40,Z39&gt;Z40,AA39&gt;AA40)</f>
        <v>0</v>
      </c>
      <c r="AC39" s="20"/>
      <c r="AD39" s="20"/>
      <c r="AE39" s="20"/>
      <c r="AF39" s="21"/>
      <c r="AG39" s="21"/>
      <c r="AH39" s="21"/>
      <c r="AM39" s="1"/>
      <c r="AN39" s="1"/>
      <c r="AO39" s="1"/>
      <c r="AP39" s="33"/>
    </row>
    <row r="40" customFormat="false" ht="13.5" hidden="false" customHeight="true" outlineLevel="0" collapsed="false">
      <c r="A40" s="12"/>
      <c r="R40" s="2"/>
      <c r="S40" s="2"/>
      <c r="T40" s="2"/>
      <c r="W40" s="22" t="str">
        <f aca="false">IF($U21&gt;$U22,P22,IF($U21&lt;$U22,P21,""))</f>
        <v/>
      </c>
      <c r="X40" s="22" t="str">
        <f aca="false">IF($U21&gt;$U22,Q22,IF($U21&lt;$U22,Q21,""))</f>
        <v/>
      </c>
      <c r="Y40" s="23"/>
      <c r="Z40" s="19"/>
      <c r="AA40" s="19"/>
      <c r="AB40" s="24" t="n">
        <f aca="false">SUM(Y39&lt;Y40,Z39&lt;Z40,AA39&lt;AA40)</f>
        <v>0</v>
      </c>
      <c r="AC40" s="20"/>
      <c r="AD40" s="20"/>
      <c r="AE40" s="20"/>
      <c r="AF40" s="21"/>
      <c r="AG40" s="21"/>
      <c r="AH40" s="21"/>
      <c r="AM40" s="1"/>
      <c r="AN40" s="1"/>
      <c r="AO40" s="1"/>
      <c r="AP40" s="33"/>
    </row>
    <row r="41" customFormat="false" ht="13.5" hidden="false" customHeight="true" outlineLevel="0" collapsed="false">
      <c r="A41" s="12"/>
      <c r="R41" s="2"/>
      <c r="S41" s="2"/>
      <c r="T41" s="2"/>
      <c r="W41" s="20"/>
      <c r="X41" s="20"/>
      <c r="Y41" s="21"/>
      <c r="Z41" s="21"/>
      <c r="AA41" s="21"/>
      <c r="AB41" s="25"/>
      <c r="AC41" s="26"/>
      <c r="AD41" s="17" t="str">
        <f aca="false">IF($AB39&gt;$AB40,W39,IF($AB39&lt;$AB40,W40,""))</f>
        <v/>
      </c>
      <c r="AE41" s="17" t="str">
        <f aca="false">IF($AB39&gt;$AB40,X39,IF($AB39&lt;$AB40,X40,""))</f>
        <v/>
      </c>
      <c r="AF41" s="18"/>
      <c r="AG41" s="19"/>
      <c r="AH41" s="19"/>
      <c r="AI41" s="26" t="n">
        <f aca="false">SUM(AF41&gt;AF42,AG41&gt;AG42,AH41&gt;AH42)</f>
        <v>0</v>
      </c>
      <c r="AM41" s="1"/>
      <c r="AN41" s="1"/>
      <c r="AO41" s="1"/>
      <c r="AP41" s="33"/>
    </row>
    <row r="42" customFormat="false" ht="13.5" hidden="false" customHeight="true" outlineLevel="0" collapsed="false">
      <c r="A42" s="12"/>
      <c r="R42" s="2"/>
      <c r="S42" s="2"/>
      <c r="T42" s="2"/>
      <c r="W42" s="20"/>
      <c r="X42" s="20"/>
      <c r="Y42" s="21"/>
      <c r="Z42" s="21"/>
      <c r="AA42" s="21"/>
      <c r="AB42" s="25"/>
      <c r="AC42" s="20"/>
      <c r="AD42" s="22" t="str">
        <f aca="false">IF($AB43&gt;$AB44,W43,IF($AB43&lt;$AB44,W44,""))</f>
        <v/>
      </c>
      <c r="AE42" s="22" t="str">
        <f aca="false">IF($AB43&gt;$AB44,X43,IF($AB43&lt;$AB44,X44,""))</f>
        <v/>
      </c>
      <c r="AF42" s="23"/>
      <c r="AG42" s="19"/>
      <c r="AH42" s="19"/>
      <c r="AI42" s="25" t="n">
        <f aca="false">SUM(AF41&lt;AF42,AG41&lt;AG42,AH41&lt;AH42)</f>
        <v>0</v>
      </c>
      <c r="AM42" s="1"/>
      <c r="AN42" s="1"/>
      <c r="AO42" s="1"/>
      <c r="AP42" s="33"/>
    </row>
    <row r="43" customFormat="false" ht="13.5" hidden="false" customHeight="true" outlineLevel="0" collapsed="false">
      <c r="A43" s="12"/>
      <c r="R43" s="2"/>
      <c r="S43" s="2"/>
      <c r="T43" s="2"/>
      <c r="W43" s="17" t="n">
        <f aca="false">VLOOKUP("b4", quali_results!$A$1:$C$40,2,0)</f>
        <v>0</v>
      </c>
      <c r="X43" s="17" t="n">
        <f aca="false">VLOOKUP("b4", quali_results!$A$1:$C$40,3,0)</f>
        <v>0</v>
      </c>
      <c r="Y43" s="18"/>
      <c r="Z43" s="19"/>
      <c r="AA43" s="19"/>
      <c r="AB43" s="27" t="n">
        <f aca="false">SUM(Y43&gt;Y44,Z43&gt;Z44,AA43&gt;AA44)</f>
        <v>0</v>
      </c>
      <c r="AC43" s="20"/>
      <c r="AD43" s="20"/>
      <c r="AE43" s="20"/>
      <c r="AF43" s="21"/>
      <c r="AG43" s="21"/>
      <c r="AH43" s="21"/>
      <c r="AI43" s="25"/>
      <c r="AK43" s="20"/>
      <c r="AL43" s="20"/>
      <c r="AM43" s="21"/>
      <c r="AN43" s="21"/>
      <c r="AO43" s="21"/>
      <c r="AP43" s="33"/>
    </row>
    <row r="44" customFormat="false" ht="13.5" hidden="false" customHeight="true" outlineLevel="0" collapsed="false">
      <c r="A44" s="12"/>
      <c r="R44" s="2"/>
      <c r="S44" s="2"/>
      <c r="T44" s="2"/>
      <c r="W44" s="22" t="str">
        <f aca="false">IF($U25&gt;$U26,P26,IF($U25&lt;$U26,P25,""))</f>
        <v/>
      </c>
      <c r="X44" s="22" t="str">
        <f aca="false">IF($U25&gt;$U26,Q26,IF($U25&lt;$U26,Q25,""))</f>
        <v/>
      </c>
      <c r="Y44" s="23"/>
      <c r="Z44" s="19"/>
      <c r="AA44" s="19"/>
      <c r="AB44" s="20" t="n">
        <f aca="false">SUM(Y43&lt;Y44,Z43&lt;Z44,AA43&lt;AA44)</f>
        <v>0</v>
      </c>
      <c r="AC44" s="20"/>
      <c r="AD44" s="20"/>
      <c r="AE44" s="20"/>
      <c r="AF44" s="21"/>
      <c r="AG44" s="21"/>
      <c r="AH44" s="21"/>
      <c r="AI44" s="25"/>
      <c r="AJ44" s="26"/>
      <c r="AK44" s="17" t="str">
        <f aca="false">IF($AI41&gt;$AI42,AD41,IF($AI41&lt;$AI42,AD42,""))</f>
        <v/>
      </c>
      <c r="AL44" s="17" t="str">
        <f aca="false">IF($AI41&gt;$AI42,AE41,IF($AI41&lt;$AI42,AE42,""))</f>
        <v/>
      </c>
      <c r="AM44" s="18"/>
      <c r="AN44" s="19"/>
      <c r="AO44" s="19"/>
      <c r="AP44" s="33" t="n">
        <f aca="false">SUM(AM44&gt;AM45,AN44&gt;AN45,AO44&gt;AO45)</f>
        <v>0</v>
      </c>
    </row>
    <row r="45" customFormat="false" ht="13.5" hidden="false" customHeight="true" outlineLevel="0" collapsed="false">
      <c r="A45" s="12"/>
      <c r="R45" s="2"/>
      <c r="S45" s="2"/>
      <c r="T45" s="2"/>
      <c r="Y45" s="1"/>
      <c r="Z45" s="1"/>
      <c r="AA45" s="1"/>
      <c r="AF45" s="1"/>
      <c r="AG45" s="1"/>
      <c r="AH45" s="1"/>
      <c r="AI45" s="25"/>
      <c r="AK45" s="22" t="str">
        <f aca="false">IF($AI49&gt;$AI50,AD49,IF($AI49&lt;$AI50,AD50,""))</f>
        <v/>
      </c>
      <c r="AL45" s="22" t="str">
        <f aca="false">IF($AI49&gt;$AI50,AE49,IF($AI49&lt;$AI50,AE50,""))</f>
        <v/>
      </c>
      <c r="AM45" s="23"/>
      <c r="AN45" s="19"/>
      <c r="AO45" s="19"/>
      <c r="AP45" s="33" t="n">
        <f aca="false">SUM(AM44&lt;AM45,AN44&lt;AN45,AO44&lt;AO45)</f>
        <v>0</v>
      </c>
    </row>
    <row r="46" customFormat="false" ht="13.5" hidden="false" customHeight="true" outlineLevel="0" collapsed="false">
      <c r="A46" s="12"/>
      <c r="R46" s="2"/>
      <c r="S46" s="2"/>
      <c r="T46" s="2"/>
      <c r="Y46" s="1"/>
      <c r="Z46" s="1"/>
      <c r="AA46" s="1"/>
      <c r="AF46" s="1"/>
      <c r="AG46" s="1"/>
      <c r="AH46" s="1"/>
      <c r="AI46" s="25"/>
      <c r="AK46" s="20"/>
      <c r="AL46" s="20"/>
      <c r="AM46" s="21"/>
      <c r="AN46" s="21"/>
      <c r="AO46" s="28"/>
      <c r="AP46" s="33"/>
    </row>
    <row r="47" customFormat="false" ht="13.5" hidden="false" customHeight="true" outlineLevel="0" collapsed="false">
      <c r="A47" s="12"/>
      <c r="R47" s="2"/>
      <c r="S47" s="2"/>
      <c r="T47" s="2"/>
      <c r="W47" s="17" t="n">
        <f aca="false">VLOOKUP("c4", quali_results!$A$1:$C$40,2,0)</f>
        <v>0</v>
      </c>
      <c r="X47" s="17" t="n">
        <f aca="false">VLOOKUP("c4", quali_results!$A$1:$C$40,3,0)</f>
        <v>0</v>
      </c>
      <c r="Y47" s="18"/>
      <c r="Z47" s="19"/>
      <c r="AA47" s="19"/>
      <c r="AB47" s="20" t="n">
        <f aca="false">SUM(Y47&gt;Y48,Z47&gt;Z48,AA47&gt;AA48)</f>
        <v>0</v>
      </c>
      <c r="AC47" s="20"/>
      <c r="AD47" s="20"/>
      <c r="AE47" s="20"/>
      <c r="AF47" s="21"/>
      <c r="AG47" s="21"/>
      <c r="AH47" s="21"/>
      <c r="AI47" s="25"/>
      <c r="AJ47" s="26"/>
      <c r="AK47" s="17" t="str">
        <f aca="false">IF($AI41&gt;$AI42,AD42,IF($AI41&lt;$AI42,AD41,""))</f>
        <v/>
      </c>
      <c r="AL47" s="17" t="str">
        <f aca="false">IF($AI41&gt;$AI42,AE42,IF($AI41&lt;$AI42,AE41,""))</f>
        <v/>
      </c>
      <c r="AM47" s="18"/>
      <c r="AN47" s="19"/>
      <c r="AO47" s="19"/>
      <c r="AP47" s="33" t="n">
        <f aca="false">SUM(AM47&gt;AM48,AN47&gt;AN48,AO47&gt;AO48)</f>
        <v>0</v>
      </c>
    </row>
    <row r="48" customFormat="false" ht="13.5" hidden="false" customHeight="true" outlineLevel="0" collapsed="false">
      <c r="A48" s="12"/>
      <c r="R48" s="2"/>
      <c r="S48" s="2"/>
      <c r="T48" s="2"/>
      <c r="W48" s="22" t="str">
        <f aca="false">IF($U29&gt;$U30,P30,IF($U29&lt;$U30,P29,""))</f>
        <v/>
      </c>
      <c r="X48" s="22" t="str">
        <f aca="false">IF($U29&gt;$U30,Q30,IF($U29&lt;$U30,Q29,""))</f>
        <v/>
      </c>
      <c r="Y48" s="23"/>
      <c r="Z48" s="19"/>
      <c r="AA48" s="19"/>
      <c r="AB48" s="24" t="n">
        <f aca="false">SUM(Y47&lt;Y48,Z47&lt;Z48,AA47&lt;AA48)</f>
        <v>0</v>
      </c>
      <c r="AC48" s="20"/>
      <c r="AD48" s="20"/>
      <c r="AE48" s="20"/>
      <c r="AF48" s="21"/>
      <c r="AG48" s="21"/>
      <c r="AH48" s="21"/>
      <c r="AI48" s="25"/>
      <c r="AK48" s="22" t="str">
        <f aca="false">IF($AI49&gt;$AI50,AD50,IF($AI49&lt;$AI50,AD49,""))</f>
        <v/>
      </c>
      <c r="AL48" s="22" t="str">
        <f aca="false">IF($AI49&gt;$AI50,AE50,IF($AI49&lt;$AI50,AE49,""))</f>
        <v/>
      </c>
      <c r="AM48" s="23"/>
      <c r="AN48" s="19"/>
      <c r="AO48" s="19"/>
      <c r="AP48" s="33" t="n">
        <f aca="false">SUM(AM47&lt;AM48,AN47&lt;AN48,AO47&lt;AO48)</f>
        <v>0</v>
      </c>
    </row>
    <row r="49" customFormat="false" ht="13.5" hidden="false" customHeight="true" outlineLevel="0" collapsed="false">
      <c r="A49" s="12"/>
      <c r="R49" s="2"/>
      <c r="S49" s="2"/>
      <c r="T49" s="2"/>
      <c r="W49" s="20"/>
      <c r="X49" s="20"/>
      <c r="Y49" s="21"/>
      <c r="Z49" s="21"/>
      <c r="AA49" s="21"/>
      <c r="AB49" s="25"/>
      <c r="AC49" s="26"/>
      <c r="AD49" s="17" t="str">
        <f aca="false">IF($AB47&gt;$AB48,W47,IF($AB47&lt;$AB48,W48,""))</f>
        <v/>
      </c>
      <c r="AE49" s="17" t="str">
        <f aca="false">IF($AB47&gt;$AB48,X47,IF($AB47&lt;$AB48,X48,""))</f>
        <v/>
      </c>
      <c r="AF49" s="18"/>
      <c r="AG49" s="19"/>
      <c r="AH49" s="19"/>
      <c r="AI49" s="27" t="n">
        <f aca="false">SUM(AF49&gt;AF50,AG49&gt;AG50,AH49&gt;AH50)</f>
        <v>0</v>
      </c>
      <c r="AK49" s="20"/>
      <c r="AL49" s="20"/>
      <c r="AM49" s="21"/>
      <c r="AN49" s="21"/>
      <c r="AO49" s="21"/>
      <c r="AP49" s="33"/>
    </row>
    <row r="50" customFormat="false" ht="13.5" hidden="false" customHeight="true" outlineLevel="0" collapsed="false">
      <c r="A50" s="12"/>
      <c r="R50" s="2"/>
      <c r="S50" s="2"/>
      <c r="T50" s="2"/>
      <c r="W50" s="20"/>
      <c r="X50" s="20"/>
      <c r="Y50" s="21"/>
      <c r="Z50" s="21"/>
      <c r="AA50" s="21"/>
      <c r="AB50" s="25"/>
      <c r="AC50" s="20"/>
      <c r="AD50" s="22" t="str">
        <f aca="false">IF($AB51&gt;$AB52,W51,IF($AB51&lt;$AB52,W52,""))</f>
        <v/>
      </c>
      <c r="AE50" s="22" t="str">
        <f aca="false">IF($AB51&gt;$AB52,X51,IF($AB51&lt;$AB52,X52,""))</f>
        <v/>
      </c>
      <c r="AF50" s="23"/>
      <c r="AG50" s="19"/>
      <c r="AH50" s="19"/>
      <c r="AI50" s="2" t="n">
        <f aca="false">SUM(AF49&lt;AF50,AG49&lt;AG50,AH49&lt;AH50)</f>
        <v>0</v>
      </c>
      <c r="AM50" s="1"/>
      <c r="AN50" s="1"/>
      <c r="AO50" s="1"/>
      <c r="AP50" s="33"/>
    </row>
    <row r="51" customFormat="false" ht="13.5" hidden="false" customHeight="true" outlineLevel="0" collapsed="false">
      <c r="A51" s="12"/>
      <c r="R51" s="2"/>
      <c r="S51" s="2"/>
      <c r="T51" s="2"/>
      <c r="W51" s="17" t="n">
        <f aca="false">VLOOKUP("d4", quali_results!$A$1:$C$40,2,0)</f>
        <v>0</v>
      </c>
      <c r="X51" s="17" t="n">
        <f aca="false">VLOOKUP("d4", quali_results!$A$1:$C$40,3,0)</f>
        <v>0</v>
      </c>
      <c r="Y51" s="18"/>
      <c r="Z51" s="19"/>
      <c r="AA51" s="19"/>
      <c r="AB51" s="27" t="n">
        <f aca="false">SUM(Y51&gt;Y52,Z51&gt;Z52,AA51&gt;AA52)</f>
        <v>0</v>
      </c>
      <c r="AC51" s="20"/>
      <c r="AD51" s="20"/>
      <c r="AE51" s="20"/>
      <c r="AF51" s="21"/>
      <c r="AG51" s="21"/>
      <c r="AH51" s="21"/>
      <c r="AM51" s="1"/>
      <c r="AN51" s="1"/>
      <c r="AO51" s="1"/>
      <c r="AP51" s="33"/>
    </row>
    <row r="52" customFormat="false" ht="13.5" hidden="false" customHeight="true" outlineLevel="0" collapsed="false">
      <c r="A52" s="12"/>
      <c r="R52" s="2"/>
      <c r="S52" s="2"/>
      <c r="T52" s="2"/>
      <c r="W52" s="22" t="str">
        <f aca="false">IF($U33&gt;$U34,P34,IF($U33&lt;$U34,P33,""))</f>
        <v/>
      </c>
      <c r="X52" s="22" t="str">
        <f aca="false">IF($U33&gt;$U34,Q34,IF($U33&lt;$U34,Q33,""))</f>
        <v/>
      </c>
      <c r="Y52" s="23"/>
      <c r="Z52" s="19"/>
      <c r="AA52" s="19"/>
      <c r="AB52" s="20" t="n">
        <f aca="false">SUM(Y51&lt;Y52,Z51&lt;Z52,AA51&lt;AA52)</f>
        <v>0</v>
      </c>
      <c r="AC52" s="20"/>
      <c r="AD52" s="20"/>
      <c r="AE52" s="20"/>
      <c r="AF52" s="21"/>
      <c r="AG52" s="21"/>
      <c r="AH52" s="21"/>
      <c r="AM52" s="1"/>
      <c r="AN52" s="1"/>
      <c r="AO52" s="1"/>
      <c r="AP52" s="33"/>
    </row>
    <row r="53" customFormat="false" ht="12.75" hidden="false" customHeight="true" outlineLevel="0" collapsed="false">
      <c r="A53" s="12"/>
      <c r="R53" s="2"/>
      <c r="S53" s="2"/>
      <c r="T53" s="2"/>
      <c r="Y53" s="1"/>
      <c r="Z53" s="1"/>
      <c r="AA53" s="1"/>
      <c r="AF53" s="1"/>
      <c r="AG53" s="1"/>
      <c r="AH53" s="1"/>
      <c r="AM53" s="1"/>
      <c r="AN53" s="1"/>
      <c r="AO53" s="1"/>
      <c r="AP53" s="33"/>
    </row>
    <row r="54" customFormat="false" ht="12.75" hidden="false" customHeight="true" outlineLevel="0" collapsed="false">
      <c r="A54" s="12"/>
      <c r="B54" s="29"/>
      <c r="C54" s="29"/>
      <c r="D54" s="30"/>
      <c r="E54" s="30"/>
      <c r="F54" s="30"/>
      <c r="G54" s="29"/>
      <c r="H54" s="29"/>
      <c r="I54" s="29"/>
      <c r="J54" s="29"/>
      <c r="K54" s="30"/>
      <c r="L54" s="30"/>
      <c r="M54" s="30"/>
      <c r="N54" s="29"/>
      <c r="O54" s="29"/>
      <c r="P54" s="29"/>
      <c r="Q54" s="29"/>
      <c r="R54" s="30"/>
      <c r="S54" s="30"/>
      <c r="T54" s="30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  <c r="AF54" s="29"/>
      <c r="AG54" s="29"/>
      <c r="AH54" s="29"/>
      <c r="AI54" s="29"/>
      <c r="AJ54" s="29"/>
      <c r="AK54" s="29"/>
      <c r="AL54" s="29"/>
      <c r="AM54" s="29"/>
      <c r="AN54" s="29"/>
      <c r="AO54" s="29"/>
      <c r="AP54" s="34"/>
    </row>
    <row r="55" customFormat="false" ht="12.75" hidden="false" customHeight="true" outlineLevel="0" collapsed="false">
      <c r="A55" s="35" t="s">
        <v>76</v>
      </c>
      <c r="O55" s="33"/>
    </row>
    <row r="56" customFormat="false" ht="12.75" hidden="false" customHeight="true" outlineLevel="0" collapsed="false">
      <c r="A56" s="35"/>
      <c r="O56" s="33"/>
    </row>
    <row r="57" customFormat="false" ht="12.75" hidden="false" customHeight="true" outlineLevel="0" collapsed="false">
      <c r="A57" s="35"/>
      <c r="O57" s="33"/>
    </row>
    <row r="58" customFormat="false" ht="12.75" hidden="false" customHeight="true" outlineLevel="0" collapsed="false">
      <c r="A58" s="35"/>
      <c r="O58" s="33"/>
    </row>
    <row r="59" customFormat="false" ht="12.75" hidden="false" customHeight="true" outlineLevel="0" collapsed="false">
      <c r="A59" s="35"/>
      <c r="O59" s="33"/>
    </row>
    <row r="60" customFormat="false" ht="12.75" hidden="false" customHeight="true" outlineLevel="0" collapsed="false">
      <c r="A60" s="35"/>
      <c r="O60" s="33"/>
    </row>
    <row r="61" customFormat="false" ht="13.5" hidden="false" customHeight="true" outlineLevel="0" collapsed="false">
      <c r="A61" s="35"/>
      <c r="D61" s="2"/>
      <c r="E61" s="2"/>
      <c r="F61" s="2"/>
      <c r="I61" s="20"/>
      <c r="J61" s="20"/>
      <c r="K61" s="21"/>
      <c r="L61" s="21"/>
      <c r="M61" s="21"/>
      <c r="O61" s="33"/>
    </row>
    <row r="62" customFormat="false" ht="13.5" hidden="false" customHeight="true" outlineLevel="0" collapsed="false">
      <c r="A62" s="35"/>
      <c r="D62" s="2"/>
      <c r="E62" s="2"/>
      <c r="F62" s="2"/>
      <c r="I62" s="17" t="n">
        <f aca="false">VLOOKUP("w1", quali_results!$A$1:$C$40,2,0)</f>
        <v>0</v>
      </c>
      <c r="J62" s="17" t="n">
        <f aca="false">VLOOKUP("w1", quali_results!$A$1:$C$40,3,0)</f>
        <v>0</v>
      </c>
      <c r="K62" s="18"/>
      <c r="L62" s="19"/>
      <c r="M62" s="19"/>
      <c r="N62" s="2" t="n">
        <f aca="false">SUM(K62&gt;K63,L62&gt;L63,M62&gt;M63)</f>
        <v>0</v>
      </c>
      <c r="O62" s="33"/>
    </row>
    <row r="63" customFormat="false" ht="13.5" hidden="false" customHeight="true" outlineLevel="0" collapsed="false">
      <c r="A63" s="35"/>
      <c r="D63" s="2"/>
      <c r="E63" s="2"/>
      <c r="F63" s="2"/>
      <c r="I63" s="36" t="n">
        <f aca="false">VLOOKUP("w2", quali_results!$A$1:$C$40,2,0)</f>
        <v>0</v>
      </c>
      <c r="J63" s="22" t="n">
        <f aca="false">VLOOKUP("w2", quali_results!$A$1:$C$40,3,0)</f>
        <v>0</v>
      </c>
      <c r="K63" s="23"/>
      <c r="L63" s="19"/>
      <c r="M63" s="19"/>
      <c r="N63" s="2" t="n">
        <f aca="false">SUM(K62&lt;K63,L62&lt;L63,M62&lt;M63)</f>
        <v>0</v>
      </c>
      <c r="O63" s="33"/>
    </row>
    <row r="64" customFormat="false" ht="13.5" hidden="false" customHeight="true" outlineLevel="0" collapsed="false">
      <c r="A64" s="35"/>
      <c r="D64" s="2"/>
      <c r="E64" s="2"/>
      <c r="F64" s="2"/>
      <c r="I64" s="20"/>
      <c r="J64" s="20"/>
      <c r="K64" s="21"/>
      <c r="L64" s="21"/>
      <c r="M64" s="28"/>
      <c r="O64" s="33"/>
    </row>
    <row r="65" customFormat="false" ht="13.5" hidden="false" customHeight="true" outlineLevel="0" collapsed="false">
      <c r="A65" s="35"/>
      <c r="D65" s="2"/>
      <c r="E65" s="2"/>
      <c r="F65" s="2"/>
      <c r="I65" s="17" t="n">
        <f aca="false">VLOOKUP("w3", quali_results!$A$1:$C$40,2,0)</f>
        <v>0</v>
      </c>
      <c r="J65" s="17" t="n">
        <f aca="false">VLOOKUP("w3", quali_results!$A$1:$C$40,3,0)</f>
        <v>0</v>
      </c>
      <c r="K65" s="18"/>
      <c r="L65" s="19"/>
      <c r="M65" s="19"/>
      <c r="N65" s="2" t="n">
        <f aca="false">SUM(K65&gt;K66,L65&gt;L66,M65&gt;M66)</f>
        <v>0</v>
      </c>
      <c r="O65" s="33"/>
    </row>
    <row r="66" customFormat="false" ht="13.5" hidden="false" customHeight="true" outlineLevel="0" collapsed="false">
      <c r="A66" s="35"/>
      <c r="D66" s="2"/>
      <c r="E66" s="2"/>
      <c r="F66" s="2"/>
      <c r="I66" s="36" t="n">
        <f aca="false">VLOOKUP("w4", quali_results!$A$1:$C$40,2,0)</f>
        <v>0</v>
      </c>
      <c r="J66" s="22" t="n">
        <f aca="false">VLOOKUP("w4", quali_results!$A$1:$C$40,3,0)</f>
        <v>0</v>
      </c>
      <c r="K66" s="23"/>
      <c r="L66" s="19"/>
      <c r="M66" s="19"/>
      <c r="N66" s="2" t="n">
        <f aca="false">SUM(K65&lt;K66,L65&lt;L66,M65&lt;M66)</f>
        <v>0</v>
      </c>
      <c r="O66" s="33"/>
    </row>
    <row r="67" customFormat="false" ht="13.5" hidden="false" customHeight="true" outlineLevel="0" collapsed="false">
      <c r="A67" s="35"/>
      <c r="D67" s="2"/>
      <c r="E67" s="2"/>
      <c r="F67" s="2"/>
      <c r="I67" s="20"/>
      <c r="J67" s="20"/>
      <c r="K67" s="21"/>
      <c r="L67" s="21"/>
      <c r="M67" s="21"/>
      <c r="O67" s="33"/>
    </row>
    <row r="68" customFormat="false" ht="12.75" hidden="false" customHeight="true" outlineLevel="0" collapsed="false">
      <c r="A68" s="35"/>
      <c r="D68" s="2"/>
      <c r="E68" s="2"/>
      <c r="F68" s="2"/>
      <c r="O68" s="33"/>
    </row>
    <row r="69" customFormat="false" ht="12.75" hidden="false" customHeight="true" outlineLevel="0" collapsed="false">
      <c r="A69" s="35"/>
      <c r="O69" s="33"/>
    </row>
    <row r="70" customFormat="false" ht="12.75" hidden="false" customHeight="true" outlineLevel="0" collapsed="false">
      <c r="A70" s="35"/>
      <c r="O70" s="33"/>
    </row>
    <row r="71" customFormat="false" ht="12.75" hidden="false" customHeight="true" outlineLevel="0" collapsed="false">
      <c r="A71" s="35"/>
      <c r="O71" s="33"/>
    </row>
    <row r="72" customFormat="false" ht="12.75" hidden="false" customHeight="true" outlineLevel="0" collapsed="false">
      <c r="A72" s="35"/>
      <c r="B72" s="29"/>
      <c r="C72" s="29"/>
      <c r="D72" s="30"/>
      <c r="E72" s="30"/>
      <c r="F72" s="30"/>
      <c r="G72" s="29"/>
      <c r="H72" s="29"/>
      <c r="I72" s="29"/>
      <c r="J72" s="29"/>
      <c r="K72" s="30"/>
      <c r="L72" s="30"/>
      <c r="M72" s="30"/>
      <c r="N72" s="29"/>
      <c r="O72" s="34"/>
    </row>
    <row r="73" customFormat="false" ht="12.75" hidden="false" customHeight="true" outlineLevel="0" collapsed="false">
      <c r="A73" s="35" t="s">
        <v>89</v>
      </c>
      <c r="O73" s="33"/>
    </row>
    <row r="74" customFormat="false" ht="12.75" hidden="false" customHeight="true" outlineLevel="0" collapsed="false">
      <c r="A74" s="35"/>
      <c r="O74" s="33"/>
    </row>
    <row r="75" customFormat="false" ht="12.75" hidden="false" customHeight="true" outlineLevel="0" collapsed="false">
      <c r="A75" s="35"/>
      <c r="O75" s="33"/>
    </row>
    <row r="76" customFormat="false" ht="12.75" hidden="false" customHeight="true" outlineLevel="0" collapsed="false">
      <c r="A76" s="35"/>
      <c r="O76" s="33"/>
    </row>
    <row r="77" customFormat="false" ht="12.75" hidden="false" customHeight="true" outlineLevel="0" collapsed="false">
      <c r="A77" s="35"/>
      <c r="O77" s="33"/>
    </row>
    <row r="78" customFormat="false" ht="12.75" hidden="false" customHeight="true" outlineLevel="0" collapsed="false">
      <c r="A78" s="35"/>
      <c r="D78" s="2"/>
      <c r="E78" s="2"/>
      <c r="F78" s="2"/>
      <c r="O78" s="33"/>
    </row>
    <row r="79" customFormat="false" ht="13.5" hidden="false" customHeight="true" outlineLevel="0" collapsed="false">
      <c r="A79" s="35"/>
      <c r="D79" s="2"/>
      <c r="E79" s="2"/>
      <c r="F79" s="2"/>
      <c r="I79" s="20"/>
      <c r="J79" s="20"/>
      <c r="K79" s="21"/>
      <c r="L79" s="21"/>
      <c r="M79" s="21"/>
      <c r="O79" s="33"/>
    </row>
    <row r="80" customFormat="false" ht="13.5" hidden="false" customHeight="true" outlineLevel="0" collapsed="false">
      <c r="A80" s="35"/>
      <c r="D80" s="2"/>
      <c r="E80" s="2"/>
      <c r="F80" s="2"/>
      <c r="I80" s="17" t="n">
        <f aca="false">VLOOKUP("g1", quali_results!$A$1:$C$40,2,0)</f>
        <v>0</v>
      </c>
      <c r="J80" s="17" t="n">
        <f aca="false">VLOOKUP("g1", quali_results!$A$1:$C$40,3,0)</f>
        <v>0</v>
      </c>
      <c r="K80" s="18"/>
      <c r="L80" s="19"/>
      <c r="M80" s="19"/>
      <c r="N80" s="2" t="n">
        <f aca="false">SUM(K80&gt;K81,L80&gt;L81,M80&gt;M81)</f>
        <v>0</v>
      </c>
      <c r="O80" s="33"/>
    </row>
    <row r="81" customFormat="false" ht="13.5" hidden="false" customHeight="true" outlineLevel="0" collapsed="false">
      <c r="A81" s="35"/>
      <c r="D81" s="2"/>
      <c r="E81" s="2"/>
      <c r="F81" s="2"/>
      <c r="I81" s="36" t="n">
        <f aca="false">VLOOKUP("g2", quali_results!$A$1:$C$40,2,0)</f>
        <v>0</v>
      </c>
      <c r="J81" s="22" t="n">
        <f aca="false">VLOOKUP("g2", quali_results!$A$1:$C$40,3,0)</f>
        <v>0</v>
      </c>
      <c r="K81" s="23"/>
      <c r="L81" s="19"/>
      <c r="M81" s="19"/>
      <c r="N81" s="2" t="n">
        <f aca="false">SUM(K80&lt;K81,L80&lt;L81,M80&lt;M81)</f>
        <v>0</v>
      </c>
      <c r="O81" s="33"/>
    </row>
    <row r="82" customFormat="false" ht="13.5" hidden="false" customHeight="true" outlineLevel="0" collapsed="false">
      <c r="A82" s="35"/>
      <c r="D82" s="2"/>
      <c r="E82" s="2"/>
      <c r="F82" s="2"/>
      <c r="I82" s="20"/>
      <c r="J82" s="20"/>
      <c r="K82" s="21"/>
      <c r="L82" s="21"/>
      <c r="M82" s="28"/>
      <c r="O82" s="33"/>
    </row>
    <row r="83" customFormat="false" ht="13.5" hidden="false" customHeight="true" outlineLevel="0" collapsed="false">
      <c r="A83" s="35"/>
      <c r="D83" s="2"/>
      <c r="E83" s="2"/>
      <c r="F83" s="2"/>
      <c r="I83" s="17" t="n">
        <f aca="false">VLOOKUP("g3", quali_results!$A$1:$C$40,2,0)</f>
        <v>0</v>
      </c>
      <c r="J83" s="17" t="n">
        <f aca="false">VLOOKUP("g3", quali_results!$A$1:$C$40,3,0)</f>
        <v>0</v>
      </c>
      <c r="K83" s="18"/>
      <c r="L83" s="19"/>
      <c r="M83" s="19"/>
      <c r="N83" s="2" t="n">
        <f aca="false">SUM(K83&gt;K84,L83&gt;L84,M83&gt;M84)</f>
        <v>0</v>
      </c>
      <c r="O83" s="33"/>
    </row>
    <row r="84" customFormat="false" ht="13.5" hidden="false" customHeight="true" outlineLevel="0" collapsed="false">
      <c r="A84" s="35"/>
      <c r="D84" s="2"/>
      <c r="E84" s="2"/>
      <c r="F84" s="2"/>
      <c r="I84" s="36" t="n">
        <f aca="false">VLOOKUP("g4", quali_results!$A$1:$C$40,2,0)</f>
        <v>0</v>
      </c>
      <c r="J84" s="22" t="n">
        <f aca="false">VLOOKUP("g4", quali_results!$A$1:$C$40,3,0)</f>
        <v>0</v>
      </c>
      <c r="K84" s="23"/>
      <c r="L84" s="19"/>
      <c r="M84" s="19"/>
      <c r="N84" s="2" t="n">
        <f aca="false">SUM(K83&lt;K84,L83&lt;L84,M83&lt;M84)</f>
        <v>0</v>
      </c>
      <c r="O84" s="33"/>
    </row>
    <row r="85" customFormat="false" ht="13.5" hidden="false" customHeight="true" outlineLevel="0" collapsed="false">
      <c r="A85" s="35"/>
      <c r="D85" s="2"/>
      <c r="E85" s="2"/>
      <c r="F85" s="2"/>
      <c r="I85" s="20"/>
      <c r="J85" s="20"/>
      <c r="K85" s="21"/>
      <c r="L85" s="21"/>
      <c r="M85" s="21"/>
      <c r="O85" s="33"/>
    </row>
    <row r="86" customFormat="false" ht="12.75" hidden="false" customHeight="true" outlineLevel="0" collapsed="false">
      <c r="A86" s="35"/>
      <c r="D86" s="2"/>
      <c r="E86" s="2"/>
      <c r="F86" s="2"/>
      <c r="O86" s="33"/>
    </row>
    <row r="87" customFormat="false" ht="12.75" hidden="false" customHeight="true" outlineLevel="0" collapsed="false">
      <c r="A87" s="35"/>
      <c r="D87" s="2"/>
      <c r="E87" s="2"/>
      <c r="F87" s="2"/>
      <c r="O87" s="33"/>
    </row>
    <row r="88" customFormat="false" ht="12.75" hidden="false" customHeight="true" outlineLevel="0" collapsed="false">
      <c r="A88" s="35"/>
      <c r="O88" s="33"/>
    </row>
    <row r="89" customFormat="false" ht="12.75" hidden="false" customHeight="true" outlineLevel="0" collapsed="false">
      <c r="A89" s="35"/>
      <c r="O89" s="33"/>
    </row>
    <row r="90" customFormat="false" ht="12.75" hidden="false" customHeight="true" outlineLevel="0" collapsed="false">
      <c r="A90" s="35"/>
      <c r="B90" s="29"/>
      <c r="C90" s="29"/>
      <c r="D90" s="30"/>
      <c r="E90" s="30"/>
      <c r="F90" s="30"/>
      <c r="G90" s="29"/>
      <c r="H90" s="29"/>
      <c r="I90" s="29"/>
      <c r="J90" s="29"/>
      <c r="K90" s="30"/>
      <c r="L90" s="30"/>
      <c r="M90" s="30"/>
      <c r="N90" s="29"/>
      <c r="O90" s="34"/>
    </row>
    <row r="94" customFormat="false" ht="12.75" hidden="false" customHeight="true" outlineLevel="0" collapsed="false">
      <c r="K94" s="2"/>
      <c r="L94" s="2"/>
      <c r="M94" s="2"/>
      <c r="R94" s="2"/>
      <c r="S94" s="2"/>
      <c r="T94" s="2"/>
    </row>
    <row r="95" customFormat="false" ht="12.75" hidden="false" customHeight="true" outlineLevel="0" collapsed="false">
      <c r="K95" s="2"/>
      <c r="L95" s="2"/>
      <c r="M95" s="2"/>
      <c r="R95" s="2"/>
      <c r="S95" s="2"/>
      <c r="T95" s="2"/>
    </row>
    <row r="96" customFormat="false" ht="12.75" hidden="false" customHeight="true" outlineLevel="0" collapsed="false">
      <c r="K96" s="2"/>
      <c r="L96" s="2"/>
      <c r="M96" s="2"/>
      <c r="R96" s="2"/>
      <c r="S96" s="2"/>
      <c r="T96" s="2"/>
    </row>
    <row r="97" customFormat="false" ht="12.75" hidden="false" customHeight="true" outlineLevel="0" collapsed="false">
      <c r="K97" s="2"/>
      <c r="L97" s="2"/>
      <c r="M97" s="2"/>
      <c r="R97" s="2"/>
      <c r="S97" s="2"/>
      <c r="T97" s="2"/>
    </row>
    <row r="98" customFormat="false" ht="12.75" hidden="false" customHeight="true" outlineLevel="0" collapsed="false">
      <c r="K98" s="2"/>
      <c r="L98" s="2"/>
      <c r="M98" s="2"/>
      <c r="R98" s="2"/>
      <c r="S98" s="2"/>
      <c r="T98" s="2"/>
    </row>
    <row r="99" customFormat="false" ht="12.75" hidden="false" customHeight="true" outlineLevel="0" collapsed="false">
      <c r="K99" s="2"/>
      <c r="L99" s="2"/>
      <c r="M99" s="2"/>
      <c r="R99" s="2"/>
      <c r="S99" s="2"/>
      <c r="T99" s="2"/>
    </row>
    <row r="100" customFormat="false" ht="12.75" hidden="false" customHeight="true" outlineLevel="0" collapsed="false">
      <c r="K100" s="2"/>
      <c r="L100" s="2"/>
      <c r="M100" s="2"/>
      <c r="R100" s="2"/>
      <c r="S100" s="2"/>
      <c r="T100" s="2"/>
    </row>
    <row r="101" customFormat="false" ht="12.75" hidden="false" customHeight="true" outlineLevel="0" collapsed="false">
      <c r="K101" s="2"/>
      <c r="L101" s="2"/>
      <c r="M101" s="2"/>
      <c r="R101" s="2"/>
      <c r="S101" s="2"/>
      <c r="T101" s="2"/>
    </row>
    <row r="102" customFormat="false" ht="12.75" hidden="false" customHeight="true" outlineLevel="0" collapsed="false">
      <c r="K102" s="2"/>
      <c r="L102" s="2"/>
      <c r="M102" s="2"/>
      <c r="R102" s="2"/>
      <c r="S102" s="2"/>
      <c r="T102" s="2"/>
    </row>
    <row r="103" customFormat="false" ht="12.75" hidden="false" customHeight="true" outlineLevel="0" collapsed="false">
      <c r="K103" s="2"/>
      <c r="L103" s="2"/>
      <c r="M103" s="2"/>
      <c r="R103" s="2"/>
      <c r="S103" s="2"/>
      <c r="T103" s="2"/>
    </row>
    <row r="104" customFormat="false" ht="12.75" hidden="false" customHeight="true" outlineLevel="0" collapsed="false">
      <c r="K104" s="2"/>
      <c r="L104" s="2"/>
      <c r="M104" s="2"/>
      <c r="R104" s="2"/>
      <c r="S104" s="2"/>
      <c r="T104" s="2"/>
    </row>
    <row r="105" customFormat="false" ht="12.75" hidden="false" customHeight="true" outlineLevel="0" collapsed="false">
      <c r="K105" s="2"/>
      <c r="L105" s="2"/>
      <c r="M105" s="2"/>
      <c r="R105" s="2"/>
      <c r="S105" s="2"/>
      <c r="T105" s="2"/>
    </row>
    <row r="106" customFormat="false" ht="12.75" hidden="false" customHeight="true" outlineLevel="0" collapsed="false">
      <c r="K106" s="2"/>
      <c r="L106" s="2"/>
      <c r="M106" s="2"/>
      <c r="R106" s="2"/>
      <c r="S106" s="2"/>
      <c r="T106" s="2"/>
    </row>
    <row r="107" customFormat="false" ht="12.75" hidden="false" customHeight="true" outlineLevel="0" collapsed="false">
      <c r="K107" s="2"/>
      <c r="L107" s="2"/>
      <c r="M107" s="2"/>
      <c r="R107" s="2"/>
      <c r="S107" s="2"/>
      <c r="T107" s="2"/>
    </row>
    <row r="108" customFormat="false" ht="12.75" hidden="false" customHeight="true" outlineLevel="0" collapsed="false">
      <c r="K108" s="2"/>
      <c r="L108" s="2"/>
      <c r="M108" s="2"/>
      <c r="R108" s="2"/>
      <c r="S108" s="2"/>
      <c r="T108" s="2"/>
    </row>
    <row r="109" customFormat="false" ht="12.75" hidden="false" customHeight="true" outlineLevel="0" collapsed="false">
      <c r="K109" s="2"/>
      <c r="L109" s="2"/>
      <c r="M109" s="2"/>
      <c r="R109" s="2"/>
      <c r="S109" s="2"/>
      <c r="T109" s="2"/>
    </row>
    <row r="110" customFormat="false" ht="12.75" hidden="false" customHeight="true" outlineLevel="0" collapsed="false">
      <c r="K110" s="2"/>
      <c r="L110" s="2"/>
      <c r="M110" s="2"/>
      <c r="R110" s="2"/>
      <c r="S110" s="2"/>
      <c r="T110" s="2"/>
    </row>
    <row r="111" customFormat="false" ht="12.75" hidden="false" customHeight="true" outlineLevel="0" collapsed="false">
      <c r="K111" s="2"/>
      <c r="L111" s="2"/>
      <c r="M111" s="2"/>
      <c r="R111" s="2"/>
      <c r="S111" s="2"/>
      <c r="T111" s="2"/>
    </row>
    <row r="112" customFormat="false" ht="12.75" hidden="false" customHeight="true" outlineLevel="0" collapsed="false">
      <c r="R112" s="2"/>
      <c r="S112" s="2"/>
      <c r="T112" s="2"/>
    </row>
    <row r="113" customFormat="false" ht="12.75" hidden="false" customHeight="true" outlineLevel="0" collapsed="false">
      <c r="R113" s="2"/>
      <c r="S113" s="2"/>
      <c r="T113" s="2"/>
    </row>
    <row r="114" customFormat="false" ht="12.75" hidden="false" customHeight="true" outlineLevel="0" collapsed="false">
      <c r="R114" s="2"/>
      <c r="S114" s="2"/>
      <c r="T114" s="2"/>
    </row>
    <row r="115" customFormat="false" ht="12.75" hidden="false" customHeight="true" outlineLevel="0" collapsed="false">
      <c r="R115" s="2"/>
      <c r="S115" s="2"/>
      <c r="T115" s="2"/>
    </row>
    <row r="1048576" customFormat="false" ht="12.75" hidden="false" customHeight="true" outlineLevel="0" collapsed="false"/>
  </sheetData>
  <mergeCells count="5">
    <mergeCell ref="A1:A18"/>
    <mergeCell ref="A19:A36"/>
    <mergeCell ref="A37:A54"/>
    <mergeCell ref="A55:A72"/>
    <mergeCell ref="A73:A90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 &amp;Kffffff&amp;A</oddHeader>
    <oddFooter>&amp;C&amp;"Times New Roman,Regular"&amp;12 &amp;KffffffPage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1.66015625" defaultRowHeight="12.75" zeroHeight="false" outlineLevelRow="0" outlineLevelCol="0"/>
  <cols>
    <col collapsed="false" customWidth="true" hidden="false" outlineLevel="0" max="1" min="1" style="2" width="25.52"/>
  </cols>
  <sheetData>
    <row r="1" customFormat="false" ht="12.75" hidden="false" customHeight="true" outlineLevel="0" collapsed="false">
      <c r="A1" s="3" t="s">
        <v>89</v>
      </c>
    </row>
    <row r="2" customFormat="false" ht="12.75" hidden="false" customHeight="true" outlineLevel="0" collapsed="false">
      <c r="A2" s="2" t="str">
        <f aca="false">IF(knockout_score!$N80&gt;knockout_score!$N81,knockout_score!I80,IF(knockout_score!$N80&lt;knockout_score!$N81,knockout_score!I81,""))</f>
        <v/>
      </c>
      <c r="B2" s="2" t="str">
        <f aca="false">IF(knockout_score!$N80&gt;knockout_score!$N81,knockout_score!J80,IF(knockout_score!$N80&lt;knockout_score!$N81,knockout_score!J81,""))</f>
        <v/>
      </c>
    </row>
    <row r="3" customFormat="false" ht="12.75" hidden="false" customHeight="true" outlineLevel="0" collapsed="false">
      <c r="A3" s="2" t="str">
        <f aca="false">IF(knockout_score!$N80&gt;knockout_score!$N81,knockout_score!I81,IF(knockout_score!$N80&lt;knockout_score!$N81,knockout_score!I80,""))</f>
        <v/>
      </c>
      <c r="B3" s="2" t="str">
        <f aca="false">IF(knockout_score!$N80&gt;knockout_score!$N81,knockout_score!J81,IF(knockout_score!$N80&lt;knockout_score!$N81,knockout_score!J80,""))</f>
        <v/>
      </c>
    </row>
    <row r="4" customFormat="false" ht="12.75" hidden="false" customHeight="true" outlineLevel="0" collapsed="false">
      <c r="A4" s="2" t="str">
        <f aca="false">IF(knockout_score!$N83&gt;knockout_score!$N84,knockout_score!I83,IF(knockout_score!$N83&lt;knockout_score!$N84,knockout_score!I84,""))</f>
        <v/>
      </c>
      <c r="B4" s="2" t="str">
        <f aca="false">IF(knockout_score!$N83&gt;knockout_score!$N84,knockout_score!J83,IF(knockout_score!$N83&lt;knockout_score!$N84,knockout_score!J84,""))</f>
        <v/>
      </c>
    </row>
    <row r="5" customFormat="false" ht="12.75" hidden="false" customHeight="true" outlineLevel="0" collapsed="false">
      <c r="A5" s="2" t="str">
        <f aca="false">IF(knockout_score!$N83&gt;knockout_score!$N84,knockout_score!I84,IF(knockout_score!$N83&lt;knockout_score!$N84,knockout_score!I83,""))</f>
        <v/>
      </c>
      <c r="B5" s="2" t="str">
        <f aca="false">IF(knockout_score!$N83&gt;knockout_score!$N84,knockout_score!J84,IF(knockout_score!$N83&lt;knockout_score!$N84,knockout_score!J83,""))</f>
        <v/>
      </c>
    </row>
    <row r="7" customFormat="false" ht="12.75" hidden="false" customHeight="true" outlineLevel="0" collapsed="false">
      <c r="A7" s="3" t="s">
        <v>76</v>
      </c>
    </row>
    <row r="8" customFormat="false" ht="12.75" hidden="false" customHeight="true" outlineLevel="0" collapsed="false">
      <c r="A8" s="2" t="str">
        <f aca="false">IF(knockout_score!$N62&gt;knockout_score!$N63,knockout_score!I62,IF(knockout_score!$N62&lt;knockout_score!$N63,knockout_score!I63,""))</f>
        <v/>
      </c>
      <c r="B8" s="2" t="str">
        <f aca="false">IF(knockout_score!$N62&gt;knockout_score!$N63,knockout_score!J62,IF(knockout_score!$N62&lt;knockout_score!$N63,knockout_score!J63,""))</f>
        <v/>
      </c>
    </row>
    <row r="9" customFormat="false" ht="12.75" hidden="false" customHeight="true" outlineLevel="0" collapsed="false">
      <c r="A9" s="2" t="str">
        <f aca="false">IF(knockout_score!$N62&gt;knockout_score!$N63,knockout_score!I63,IF(knockout_score!$N62&lt;knockout_score!$N63,knockout_score!I62,""))</f>
        <v/>
      </c>
      <c r="B9" s="2" t="str">
        <f aca="false">IF(knockout_score!$N62&gt;knockout_score!$N63,knockout_score!J63,IF(knockout_score!$N62&lt;knockout_score!$N63,knockout_score!J62,""))</f>
        <v/>
      </c>
    </row>
    <row r="10" customFormat="false" ht="12.75" hidden="false" customHeight="true" outlineLevel="0" collapsed="false">
      <c r="A10" s="2" t="str">
        <f aca="false">IF(knockout_score!$N65&gt;knockout_score!$N66,knockout_score!I65,IF(knockout_score!$N65&lt;knockout_score!$N66,knockout_score!I66,""))</f>
        <v/>
      </c>
      <c r="B10" s="2" t="str">
        <f aca="false">IF(knockout_score!$N65&gt;knockout_score!$N66,knockout_score!J65,IF(knockout_score!$N65&lt;knockout_score!$N66,knockout_score!J66,""))</f>
        <v/>
      </c>
    </row>
    <row r="11" customFormat="false" ht="12.75" hidden="false" customHeight="true" outlineLevel="0" collapsed="false">
      <c r="A11" s="2" t="str">
        <f aca="false">IF(knockout_score!$N65&gt;knockout_score!$N66,knockout_score!I66,IF(knockout_score!$N65&lt;knockout_score!$N66,knockout_score!I65,""))</f>
        <v/>
      </c>
      <c r="B11" s="2" t="str">
        <f aca="false">IF(knockout_score!$N65&gt;knockout_score!$N66,knockout_score!J66,IF(knockout_score!$N65&lt;knockout_score!$N66,knockout_score!J65,""))</f>
        <v/>
      </c>
    </row>
    <row r="13" customFormat="false" ht="12.75" hidden="false" customHeight="true" outlineLevel="0" collapsed="false">
      <c r="A13" s="3" t="s">
        <v>131</v>
      </c>
    </row>
    <row r="14" customFormat="false" ht="12.75" hidden="false" customHeight="true" outlineLevel="0" collapsed="false">
      <c r="A14" s="2" t="str">
        <f aca="false">IF(knockout_score!$U8&gt;knockout_score!$U9,knockout_score!P8,IF(knockout_score!$U8&lt;knockout_score!$U9,knockout_score!P9,""))</f>
        <v/>
      </c>
      <c r="B14" s="2" t="str">
        <f aca="false">IF(knockout_score!$U8&gt;knockout_score!$U9,knockout_score!Q8,IF(knockout_score!$U8&lt;knockout_score!$U9,knockout_score!Q9,""))</f>
        <v/>
      </c>
    </row>
    <row r="15" customFormat="false" ht="12.75" hidden="false" customHeight="true" outlineLevel="0" collapsed="false">
      <c r="A15" s="2" t="str">
        <f aca="false">IF(knockout_score!$U8&gt;knockout_score!$U9,knockout_score!P9,IF(knockout_score!$U8&lt;knockout_score!$U9,knockout_score!P8,""))</f>
        <v/>
      </c>
      <c r="B15" s="2" t="str">
        <f aca="false">IF(knockout_score!$U8&gt;knockout_score!$U9,knockout_score!Q9,IF(knockout_score!$U8&lt;knockout_score!$U9,knockout_score!Q8,""))</f>
        <v/>
      </c>
    </row>
    <row r="16" customFormat="false" ht="12.75" hidden="false" customHeight="true" outlineLevel="0" collapsed="false">
      <c r="A16" s="2" t="str">
        <f aca="false">IF(knockout_score!$U11&gt;knockout_score!$U12,knockout_score!P11,IF(knockout_score!$U11&lt;knockout_score!$U12,knockout_score!P12,""))</f>
        <v/>
      </c>
      <c r="B16" s="2" t="str">
        <f aca="false">IF(knockout_score!$U11&gt;knockout_score!$U12,knockout_score!Q11,IF(knockout_score!$U11&lt;knockout_score!$U12,knockout_score!Q12,""))</f>
        <v/>
      </c>
    </row>
    <row r="17" customFormat="false" ht="12.75" hidden="false" customHeight="true" outlineLevel="0" collapsed="false">
      <c r="A17" s="2" t="str">
        <f aca="false">IF(knockout_score!$U11&gt;knockout_score!$U12,knockout_score!P12,IF(knockout_score!$U11&lt;knockout_score!$U12,knockout_score!P11,""))</f>
        <v/>
      </c>
      <c r="B17" s="2" t="str">
        <f aca="false">IF(knockout_score!$U11&gt;knockout_score!$U12,knockout_score!Q12,IF(knockout_score!$U11&lt;knockout_score!$U12,knockout_score!Q11,""))</f>
        <v/>
      </c>
    </row>
    <row r="19" customFormat="false" ht="12.75" hidden="false" customHeight="true" outlineLevel="0" collapsed="false">
      <c r="A19" s="3" t="s">
        <v>132</v>
      </c>
    </row>
    <row r="20" customFormat="false" ht="12.75" hidden="false" customHeight="true" outlineLevel="0" collapsed="false">
      <c r="A20" s="2" t="str">
        <f aca="false">IF(knockout_score!$AI26&gt;knockout_score!$AI27,knockout_score!AD26,IF(knockout_score!$AI26&lt;knockout_score!$AI27,knockout_score!AD27,""))</f>
        <v/>
      </c>
      <c r="B20" s="2" t="str">
        <f aca="false">IF(knockout_score!$AI26&gt;knockout_score!$AI27,knockout_score!AE26,IF(knockout_score!$AI26&lt;knockout_score!$AI27,knockout_score!AE27,""))</f>
        <v/>
      </c>
    </row>
    <row r="21" customFormat="false" ht="12.75" hidden="false" customHeight="true" outlineLevel="0" collapsed="false">
      <c r="A21" s="2" t="str">
        <f aca="false">IF(knockout_score!$AI26&gt;knockout_score!$AI27,knockout_score!AD27,IF(knockout_score!$AI26&lt;knockout_score!$AI27,knockout_score!AD26,""))</f>
        <v/>
      </c>
      <c r="B21" s="2" t="str">
        <f aca="false">IF(knockout_score!$AI26&gt;knockout_score!$AI27,knockout_score!AE27,IF(knockout_score!$AI26&lt;knockout_score!$AI27,knockout_score!AE26,""))</f>
        <v/>
      </c>
    </row>
    <row r="22" customFormat="false" ht="12.75" hidden="false" customHeight="true" outlineLevel="0" collapsed="false">
      <c r="A22" s="2" t="str">
        <f aca="false">IF(knockout_score!$AI29&gt;knockout_score!$AI30,knockout_score!AD29,IF(knockout_score!$AI29&lt;knockout_score!$AI30,knockout_score!AD30,""))</f>
        <v/>
      </c>
      <c r="B22" s="2" t="str">
        <f aca="false">IF(knockout_score!$AI29&gt;knockout_score!$AI30,knockout_score!AE29,IF(knockout_score!$AI29&lt;knockout_score!$AI30,knockout_score!AE30,""))</f>
        <v/>
      </c>
    </row>
    <row r="23" customFormat="false" ht="12.75" hidden="false" customHeight="true" outlineLevel="0" collapsed="false">
      <c r="A23" s="2" t="str">
        <f aca="false">IF(knockout_score!$AI29&gt;knockout_score!$AI30,knockout_score!AD30,IF(knockout_score!$AI29&lt;knockout_score!$AI30,knockout_score!AD29,""))</f>
        <v/>
      </c>
      <c r="B23" s="2" t="str">
        <f aca="false">IF(knockout_score!$AI29&gt;knockout_score!$AI30,knockout_score!AE30,IF(knockout_score!$AI29&lt;knockout_score!$AI30,knockout_score!AE29,""))</f>
        <v/>
      </c>
    </row>
    <row r="25" customFormat="false" ht="12.75" hidden="false" customHeight="true" outlineLevel="0" collapsed="false">
      <c r="A25" s="3" t="s">
        <v>133</v>
      </c>
    </row>
    <row r="26" customFormat="false" ht="12.75" hidden="false" customHeight="true" outlineLevel="0" collapsed="false">
      <c r="A26" s="2" t="str">
        <f aca="false">IF(knockout_score!$AP44&gt;knockout_score!$AP45,knockout_score!AK44,IF(knockout_score!$AP44&lt;knockout_score!$AP45,knockout_score!AK45,""))</f>
        <v/>
      </c>
      <c r="B26" s="2" t="str">
        <f aca="false">IF(knockout_score!$AP44&gt;knockout_score!$AP45,knockout_score!AL44,IF(knockout_score!$AP44&lt;knockout_score!$AP45,knockout_score!AL45,""))</f>
        <v/>
      </c>
    </row>
    <row r="27" customFormat="false" ht="12.75" hidden="false" customHeight="true" outlineLevel="0" collapsed="false">
      <c r="A27" s="2" t="str">
        <f aca="false">IF(knockout_score!$AP44&gt;knockout_score!$AP45,knockout_score!AK45,IF(knockout_score!$AP44&lt;knockout_score!$AP45,knockout_score!AK44,""))</f>
        <v/>
      </c>
      <c r="B27" s="2" t="str">
        <f aca="false">IF(knockout_score!$AP44&gt;knockout_score!$AP45,knockout_score!AL45,IF(knockout_score!$AP44&lt;knockout_score!$AP45,knockout_score!AL44,""))</f>
        <v/>
      </c>
    </row>
    <row r="28" customFormat="false" ht="12.75" hidden="false" customHeight="true" outlineLevel="0" collapsed="false">
      <c r="A28" s="2" t="str">
        <f aca="false">IF(knockout_score!$AP47&gt;knockout_score!$AP48,knockout_score!AK47,IF(knockout_score!$AP47&lt;knockout_score!$AP48,knockout_score!AK48,""))</f>
        <v/>
      </c>
      <c r="B28" s="2" t="str">
        <f aca="false">IF(knockout_score!$AP47&gt;knockout_score!$AP48,knockout_score!AL47,IF(knockout_score!$AP47&lt;knockout_score!$AP48,knockout_score!AL48,""))</f>
        <v/>
      </c>
    </row>
    <row r="29" customFormat="false" ht="12.75" hidden="false" customHeight="true" outlineLevel="0" collapsed="false">
      <c r="A29" s="2" t="str">
        <f aca="false">IF(knockout_score!$AP47&gt;knockout_score!$AP48,knockout_score!AK48,IF(knockout_score!$AP47&lt;knockout_score!$AP48,knockout_score!AK47,""))</f>
        <v/>
      </c>
      <c r="B29" s="2" t="str">
        <f aca="false">IF(knockout_score!$AP47&gt;knockout_score!$AP48,knockout_score!AL48,IF(knockout_score!$AP47&lt;knockout_score!$AP48,knockout_score!AL47,""))</f>
        <v/>
      </c>
    </row>
    <row r="31" customFormat="false" ht="12.75" hidden="false" customHeight="true" outlineLevel="0" collapsed="false">
      <c r="A31" s="3" t="s">
        <v>134</v>
      </c>
    </row>
    <row r="32" customFormat="false" ht="12.75" hidden="false" customHeight="true" outlineLevel="0" collapsed="false">
      <c r="A32" s="2" t="str">
        <f aca="false">IF(knockout_score!$AB39&gt;knockout_score!$AB40,knockout_score!W40,IF(knockout_score!$AB39&lt;knockout_score!$AB40,knockout_score!W39,""))</f>
        <v/>
      </c>
      <c r="B32" s="2" t="str">
        <f aca="false">IF(knockout_score!$AB39&gt;knockout_score!$AB40,knockout_score!X40,IF(knockout_score!$AB39&lt;knockout_score!$AB40,knockout_score!X39,""))</f>
        <v/>
      </c>
    </row>
    <row r="33" customFormat="false" ht="12.75" hidden="false" customHeight="true" outlineLevel="0" collapsed="false">
      <c r="A33" s="2" t="str">
        <f aca="false">IF(knockout_score!$AB43&gt;knockout_score!$AB44,knockout_score!W44,IF(knockout_score!$AB43&lt;knockout_score!$AB44,knockout_score!W43,""))</f>
        <v/>
      </c>
      <c r="B33" s="2" t="str">
        <f aca="false">IF(knockout_score!$AB43&gt;knockout_score!$AB44,knockout_score!X44,IF(knockout_score!$AB43&lt;knockout_score!$AB44,knockout_score!X43,""))</f>
        <v/>
      </c>
    </row>
    <row r="34" customFormat="false" ht="12.75" hidden="false" customHeight="true" outlineLevel="0" collapsed="false">
      <c r="A34" s="2" t="str">
        <f aca="false">IF(knockout_score!$AB47&gt;knockout_score!$AB48,knockout_score!W48,IF(knockout_score!$AB47&lt;knockout_score!$AB48,knockout_score!W47,""))</f>
        <v/>
      </c>
      <c r="B34" s="2" t="str">
        <f aca="false">IF(knockout_score!$AB47&gt;knockout_score!$AB48,knockout_score!X48,IF(knockout_score!$AB47&lt;knockout_score!$AB48,knockout_score!X47,""))</f>
        <v/>
      </c>
    </row>
    <row r="35" customFormat="false" ht="12.75" hidden="false" customHeight="true" outlineLevel="0" collapsed="false">
      <c r="A35" s="2" t="str">
        <f aca="false">IF(knockout_score!$AB51&gt;knockout_score!$AB52,knockout_score!W52,IF(knockout_score!$AB51&lt;knockout_score!$AB52,knockout_score!W51,""))</f>
        <v/>
      </c>
      <c r="B35" s="2" t="str">
        <f aca="false">IF(knockout_score!$AB51&gt;knockout_score!$AB52,knockout_score!X52,IF(knockout_score!$AB51&lt;knockout_score!$AB52,knockout_score!X51,""))</f>
        <v/>
      </c>
    </row>
    <row r="36" customFormat="false" ht="12.75" hidden="false" customHeight="true" outlineLevel="0" collapsed="false">
      <c r="A36" s="2" t="n">
        <f aca="false">VLOOKUP("a5", quali_results!$A$1:$C$40,2,0)</f>
        <v>0</v>
      </c>
      <c r="B36" s="2" t="n">
        <f aca="false">VLOOKUP("a5", quali_results!$A$1:$C$40,3,0)</f>
        <v>0</v>
      </c>
    </row>
    <row r="37" customFormat="false" ht="12.75" hidden="false" customHeight="true" outlineLevel="0" collapsed="false">
      <c r="A37" s="2" t="n">
        <f aca="false">VLOOKUP("b5", quali_results!$A$1:$C$40,2,0)</f>
        <v>0</v>
      </c>
      <c r="B37" s="2" t="n">
        <f aca="false">VLOOKUP("b5", quali_results!$A$1:$C$40,3,0)</f>
        <v>0</v>
      </c>
    </row>
    <row r="38" customFormat="false" ht="12.75" hidden="false" customHeight="true" outlineLevel="0" collapsed="false">
      <c r="A38" s="2" t="n">
        <f aca="false">VLOOKUP("c5", quali_results!$A$1:$C$40,2,0)</f>
        <v>0</v>
      </c>
      <c r="B38" s="2" t="n">
        <f aca="false">VLOOKUP("c5", quali_results!$A$1:$C$40,3,0)</f>
        <v>0</v>
      </c>
    </row>
    <row r="39" customFormat="false" ht="12.75" hidden="false" customHeight="true" outlineLevel="0" collapsed="false">
      <c r="A39" s="2" t="n">
        <f aca="false">VLOOKUP("d5", quali_results!$A$1:$C$40,2,0)</f>
        <v>0</v>
      </c>
      <c r="B39" s="2" t="n">
        <f aca="false">VLOOKUP("d5", quali_results!$A$1:$C$40,3,0)</f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 &amp;Kffffff&amp;A</oddHeader>
    <oddFooter>&amp;C&amp;"Times New Roman,Regular"&amp;12 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2026-04-19T20:33:22Z</dcterms:created>
  <dc:creator>openpyxl</dc:creator>
  <dc:description/>
  <dc:language>en-GB</dc:language>
  <cp:lastModifiedBy/>
  <dcterms:modified xsi:type="dcterms:W3CDTF">2026-05-08T09:16:53Z</dcterms:modified>
  <cp:revision>119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