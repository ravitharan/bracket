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ttendance" sheetId="1" state="visible" r:id="rId2"/>
    <sheet name="quali_schedule" sheetId="2" state="visible" r:id="rId3"/>
    <sheet name="quali_schedule_format" sheetId="3" state="visible" r:id="rId4"/>
    <sheet name="quali_score" sheetId="4" state="visible" r:id="rId5"/>
    <sheet name="quali_results" sheetId="5" state="visible" r:id="rId6"/>
    <sheet name="knockout_score" sheetId="6" state="visible" r:id="rId7"/>
    <sheet name="score_slip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<sst xmlns="http://schemas.openxmlformats.org/spreadsheetml/2006/main" count="160" uniqueCount="109">
  <si>
    <t xml:space="preserve">Index</t>
  </si>
  <si>
    <t xml:space="preserve">Team</t>
  </si>
  <si>
    <t xml:space="preserve">Player1</t>
  </si>
  <si>
    <t xml:space="preserve">Attendance</t>
  </si>
  <si>
    <t xml:space="preserve">Player2</t>
  </si>
  <si>
    <t xml:space="preserve">Total</t>
  </si>
  <si>
    <t xml:space="preserve">E00</t>
  </si>
  <si>
    <t xml:space="preserve">Me</t>
  </si>
  <si>
    <t xml:space="preserve">Vi</t>
  </si>
  <si>
    <t xml:space="preserve">E01A</t>
  </si>
  <si>
    <t xml:space="preserve">Va</t>
  </si>
  <si>
    <t xml:space="preserve">Th</t>
  </si>
  <si>
    <t xml:space="preserve">E01B</t>
  </si>
  <si>
    <t xml:space="preserve">Ka</t>
  </si>
  <si>
    <t xml:space="preserve">E02</t>
  </si>
  <si>
    <t xml:space="preserve">Ku</t>
  </si>
  <si>
    <t xml:space="preserve">E03</t>
  </si>
  <si>
    <t xml:space="preserve">Pr</t>
  </si>
  <si>
    <t xml:space="preserve">Sh</t>
  </si>
  <si>
    <t xml:space="preserve">E07</t>
  </si>
  <si>
    <t xml:space="preserve">Ko</t>
  </si>
  <si>
    <t xml:space="preserve">Sa</t>
  </si>
  <si>
    <t xml:space="preserve">E16</t>
  </si>
  <si>
    <t xml:space="preserve">E82</t>
  </si>
  <si>
    <t xml:space="preserve">Ba</t>
  </si>
  <si>
    <t xml:space="preserve">E85</t>
  </si>
  <si>
    <t xml:space="preserve">Lo</t>
  </si>
  <si>
    <t xml:space="preserve">E87</t>
  </si>
  <si>
    <t xml:space="preserve">Na</t>
  </si>
  <si>
    <t xml:space="preserve">E89</t>
  </si>
  <si>
    <t xml:space="preserve">Ni</t>
  </si>
  <si>
    <t xml:space="preserve">La</t>
  </si>
  <si>
    <t xml:space="preserve">E90A</t>
  </si>
  <si>
    <t xml:space="preserve">Ra</t>
  </si>
  <si>
    <t xml:space="preserve">E90B</t>
  </si>
  <si>
    <t xml:space="preserve">E91A</t>
  </si>
  <si>
    <t xml:space="preserve">At</t>
  </si>
  <si>
    <t xml:space="preserve">E91B</t>
  </si>
  <si>
    <t xml:space="preserve">Da</t>
  </si>
  <si>
    <t xml:space="preserve">An</t>
  </si>
  <si>
    <t xml:space="preserve">E91C</t>
  </si>
  <si>
    <t xml:space="preserve">E93</t>
  </si>
  <si>
    <t xml:space="preserve">Je</t>
  </si>
  <si>
    <t xml:space="preserve">E97</t>
  </si>
  <si>
    <t xml:space="preserve">Dh</t>
  </si>
  <si>
    <t xml:space="preserve">E99</t>
  </si>
  <si>
    <t xml:space="preserve">S95</t>
  </si>
  <si>
    <t xml:space="preserve">Si</t>
  </si>
  <si>
    <t xml:space="preserve">Ro</t>
  </si>
  <si>
    <t xml:space="preserve">wb</t>
  </si>
  <si>
    <t xml:space="preserve">LA-TH</t>
  </si>
  <si>
    <t xml:space="preserve">SO-AA</t>
  </si>
  <si>
    <t xml:space="preserve">So</t>
  </si>
  <si>
    <t xml:space="preserve">Aa</t>
  </si>
  <si>
    <t xml:space="preserve">NI-AS</t>
  </si>
  <si>
    <t xml:space="preserve">As</t>
  </si>
  <si>
    <t xml:space="preserve">NE-VI</t>
  </si>
  <si>
    <t xml:space="preserve">Ne</t>
  </si>
  <si>
    <t xml:space="preserve">g</t>
  </si>
  <si>
    <t xml:space="preserve">TS</t>
  </si>
  <si>
    <t xml:space="preserve">HA</t>
  </si>
  <si>
    <t xml:space="preserve">Ha</t>
  </si>
  <si>
    <t xml:space="preserve">SA</t>
  </si>
  <si>
    <t xml:space="preserve">Ak</t>
  </si>
  <si>
    <t xml:space="preserve">AL</t>
  </si>
  <si>
    <t xml:space="preserve">Ar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</si>
  <si>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</si>
  <si>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</si>
  <si>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</si>
  <si>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</si>
  <si>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</si>
  <si>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</si>
  <si>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</si>
  <si>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</si>
  <si>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</si>
  <si>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</si>
  <si>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</si>
  <si>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</si>
  <si>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</si>
  <si>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</si>
  <si>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</si>
  <si>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</si>
  <si>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</si>
  <si>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</si>
  <si>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</si>
  <si>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</si>
  <si>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w1</t>
  </si>
  <si>
    <t xml:space="preserve">w2</t>
  </si>
  <si>
    <t xml:space="preserve">w3</t>
  </si>
  <si>
    <t xml:space="preserve">w4</t>
  </si>
  <si>
    <t xml:space="preserve">g1</t>
  </si>
  <si>
    <t xml:space="preserve">g2</t>
  </si>
  <si>
    <t xml:space="preserve">g3</t>
  </si>
  <si>
    <t xml:space="preserve">g4</t>
  </si>
  <si>
    <t xml:space="preserve">Gold</t>
  </si>
  <si>
    <t xml:space="preserve">Silver</t>
  </si>
  <si>
    <t xml:space="preserve">Bronze</t>
  </si>
  <si>
    <t xml:space="preserve">Women &amp; Boys</t>
  </si>
  <si>
    <t xml:space="preserve">Girls</t>
  </si>
  <si>
    <t xml:space="preserve">Category</t>
  </si>
  <si>
    <t xml:space="preserve">Quali / knockout (gold / silver / bronze / boys / girls)</t>
  </si>
  <si>
    <t xml:space="preserve">Round</t>
  </si>
  <si>
    <t xml:space="preserve">Court</t>
  </si>
  <si>
    <t xml:space="preserve">Scorer</t>
  </si>
  <si>
    <t xml:space="preserve">Team1</t>
  </si>
  <si>
    <t xml:space="preserve">Team2</t>
  </si>
  <si>
    <t xml:space="preserve">Match 1</t>
  </si>
  <si>
    <t xml:space="preserve">Match 2</t>
  </si>
  <si>
    <t xml:space="preserve">Match 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</si>
</sst>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38" activeCellId="0" sqref="J38"/>
    </sheetView>
  </sheetViews>
  <sheetFormatPr defaultColWidth="13.2734375" defaultRowHeight="12.75" zeroHeight="false" outlineLevelRow="0" outlineLevelCol="0"/>
  <cols>
    <col collapsed="false" customWidth="true" hidden="false" outlineLevel="0" max="1" min="1" style="1" width="13.06"/>
    <col collapsed="false" customWidth="true" hidden="false" outlineLevel="0" max="2" min="2" style="1" width="12.75"/>
    <col collapsed="false" customWidth="true" hidden="false" outlineLevel="0" max="3" min="3" style="1" width="7.68"/>
    <col collapsed="false" customWidth="true" hidden="false" outlineLevel="0" max="4" min="4" style="1" width="12.75"/>
    <col collapsed="false" customWidth="true" hidden="false" outlineLevel="0" max="5" min="5" style="1" width="7.68"/>
    <col collapsed="false" customWidth="true" hidden="false" outlineLevel="0" max="7" min="6" style="1" width="12.75"/>
    <col collapsed="false" customWidth="true" hidden="false" outlineLevel="0" max="1024" min="999" style="1" width="11.52"/>
  </cols>
  <sheetData>
    <row r="1" s="3" customFormat="true" ht="13.5" hidden="false" customHeight="tru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3</v>
      </c>
      <c r="G1" s="2" t="s">
        <v>5</v>
      </c>
    </row>
    <row r="2" customFormat="false" ht="13.5" hidden="false" customHeight="true" outlineLevel="0" collapsed="false">
      <c r="A2" s="4" t="n">
        <v>6</v>
      </c>
      <c r="B2" s="5" t="s">
        <v>6</v>
      </c>
      <c r="C2" s="1" t="s">
        <v>7</v>
      </c>
      <c r="D2" s="6" t="n">
        <v>10</v>
      </c>
      <c r="E2" s="1" t="s">
        <v>8</v>
      </c>
      <c r="F2" s="6" t="n">
        <v>1</v>
      </c>
      <c r="G2" s="7" t="str">
        <f aca="false">IF(AND(D2=1,F2=1),1,"")</f>
        <v/>
      </c>
    </row>
    <row r="3" customFormat="false" ht="13.5" hidden="false" customHeight="true" outlineLevel="0" collapsed="false">
      <c r="A3" s="4" t="n">
        <v>3</v>
      </c>
      <c r="B3" s="5" t="s">
        <v>9</v>
      </c>
      <c r="C3" s="1" t="s">
        <v>10</v>
      </c>
      <c r="D3" s="6" t="n">
        <v>1</v>
      </c>
      <c r="E3" s="1" t="s">
        <v>11</v>
      </c>
      <c r="F3" s="6"/>
      <c r="G3" s="7" t="str">
        <f aca="false">IF(AND(D3=1,F3=1),1,"")</f>
        <v/>
      </c>
    </row>
    <row r="4" customFormat="false" ht="13.5" hidden="false" customHeight="true" outlineLevel="0" collapsed="false">
      <c r="A4" s="4" t="n">
        <v>16</v>
      </c>
      <c r="B4" s="5" t="s">
        <v>12</v>
      </c>
      <c r="C4" s="1" t="s">
        <v>13</v>
      </c>
      <c r="D4" s="6" t="n">
        <v>1</v>
      </c>
      <c r="E4" s="1" t="s">
        <v>13</v>
      </c>
      <c r="F4" s="6" t="n">
        <v>20</v>
      </c>
      <c r="G4" s="7" t="str">
        <f aca="false">IF(AND(D4=1,F4=1),1,"")</f>
        <v/>
      </c>
    </row>
    <row r="5" customFormat="false" ht="13.5" hidden="false" customHeight="true" outlineLevel="0" collapsed="false">
      <c r="A5" s="4" t="n">
        <v>17</v>
      </c>
      <c r="B5" s="5" t="s">
        <v>14</v>
      </c>
      <c r="C5" s="1" t="s">
        <v>15</v>
      </c>
      <c r="D5" s="6" t="n">
        <v>1</v>
      </c>
      <c r="E5" s="1" t="s">
        <v>11</v>
      </c>
      <c r="F5" s="6" t="n">
        <v>1</v>
      </c>
      <c r="G5" s="7" t="n">
        <f aca="false">IF(AND(D5=1,F5=1),1,"")</f>
        <v>1</v>
      </c>
    </row>
    <row r="6" customFormat="false" ht="13.5" hidden="false" customHeight="true" outlineLevel="0" collapsed="false">
      <c r="A6" s="4" t="n">
        <v>15</v>
      </c>
      <c r="B6" s="5" t="s">
        <v>16</v>
      </c>
      <c r="C6" s="1" t="s">
        <v>17</v>
      </c>
      <c r="D6" s="6"/>
      <c r="E6" s="1" t="s">
        <v>18</v>
      </c>
      <c r="F6" s="6" t="n">
        <v>1</v>
      </c>
      <c r="G6" s="7" t="str">
        <f aca="false">IF(AND(D6=1,F6=1),1,"")</f>
        <v/>
      </c>
    </row>
    <row r="7" customFormat="false" ht="13.5" hidden="false" customHeight="true" outlineLevel="0" collapsed="false">
      <c r="A7" s="4" t="n">
        <v>9</v>
      </c>
      <c r="B7" s="5" t="s">
        <v>19</v>
      </c>
      <c r="C7" s="1" t="s">
        <v>20</v>
      </c>
      <c r="D7" s="6" t="n">
        <v>1</v>
      </c>
      <c r="E7" s="1" t="s">
        <v>21</v>
      </c>
      <c r="F7" s="6" t="n">
        <v>1</v>
      </c>
      <c r="G7" s="7" t="n">
        <f aca="false">IF(AND(D7=1,F7=1),1,"")</f>
        <v>1</v>
      </c>
    </row>
    <row r="8" customFormat="false" ht="13.5" hidden="false" customHeight="true" outlineLevel="0" collapsed="false">
      <c r="A8" s="4" t="n">
        <v>18</v>
      </c>
      <c r="B8" s="5" t="s">
        <v>22</v>
      </c>
      <c r="C8" s="1" t="s">
        <v>20</v>
      </c>
      <c r="D8" s="6" t="n">
        <v>1</v>
      </c>
      <c r="E8" s="1" t="s">
        <v>11</v>
      </c>
      <c r="F8" s="6" t="n">
        <v>1</v>
      </c>
      <c r="G8" s="7" t="n">
        <f aca="false">IF(AND(D8=1,F8=1),1,"")</f>
        <v>1</v>
      </c>
    </row>
    <row r="9" customFormat="false" ht="13.5" hidden="false" customHeight="true" outlineLevel="0" collapsed="false">
      <c r="A9" s="4" t="n">
        <v>7</v>
      </c>
      <c r="B9" s="5" t="s">
        <v>23</v>
      </c>
      <c r="C9" s="1" t="s">
        <v>24</v>
      </c>
      <c r="D9" s="6" t="n">
        <v>1</v>
      </c>
      <c r="E9" s="1" t="s">
        <v>15</v>
      </c>
      <c r="F9" s="6" t="n">
        <v>1</v>
      </c>
      <c r="G9" s="7" t="n">
        <f aca="false">IF(AND(D9=1,F9=1),1,"")</f>
        <v>1</v>
      </c>
    </row>
    <row r="10" customFormat="false" ht="13.5" hidden="false" customHeight="true" outlineLevel="0" collapsed="false">
      <c r="A10" s="4" t="n">
        <v>20</v>
      </c>
      <c r="B10" s="5" t="s">
        <v>25</v>
      </c>
      <c r="C10" s="1" t="s">
        <v>26</v>
      </c>
      <c r="D10" s="6" t="n">
        <v>1</v>
      </c>
      <c r="E10" s="1" t="s">
        <v>15</v>
      </c>
      <c r="F10" s="6" t="n">
        <v>1</v>
      </c>
      <c r="G10" s="7" t="n">
        <f aca="false">IF(AND(D10=1,F10=1),1,"")</f>
        <v>1</v>
      </c>
    </row>
    <row r="11" customFormat="false" ht="13.5" hidden="false" customHeight="true" outlineLevel="0" collapsed="false">
      <c r="A11" s="4" t="n">
        <v>10</v>
      </c>
      <c r="B11" s="5" t="s">
        <v>27</v>
      </c>
      <c r="C11" s="1" t="s">
        <v>28</v>
      </c>
      <c r="D11" s="6"/>
      <c r="E11" s="1" t="s">
        <v>21</v>
      </c>
      <c r="F11" s="6"/>
      <c r="G11" s="7" t="str">
        <f aca="false">IF(AND(D11=1,F11=1),1,"")</f>
        <v/>
      </c>
    </row>
    <row r="12" customFormat="false" ht="13.5" hidden="false" customHeight="true" outlineLevel="0" collapsed="false">
      <c r="A12" s="4" t="n">
        <v>14</v>
      </c>
      <c r="B12" s="5" t="s">
        <v>29</v>
      </c>
      <c r="C12" s="1" t="s">
        <v>30</v>
      </c>
      <c r="D12" s="6" t="n">
        <v>1</v>
      </c>
      <c r="E12" s="1" t="s">
        <v>31</v>
      </c>
      <c r="F12" s="6"/>
      <c r="G12" s="7" t="str">
        <f aca="false">IF(AND(D12=1,F12=1),1,"")</f>
        <v/>
      </c>
    </row>
    <row r="13" customFormat="false" ht="13.5" hidden="false" customHeight="true" outlineLevel="0" collapsed="false">
      <c r="A13" s="4" t="n">
        <v>8</v>
      </c>
      <c r="B13" s="5" t="s">
        <v>32</v>
      </c>
      <c r="C13" s="1" t="s">
        <v>33</v>
      </c>
      <c r="D13" s="6" t="n">
        <v>1</v>
      </c>
      <c r="E13" s="1" t="s">
        <v>28</v>
      </c>
      <c r="F13" s="6" t="n">
        <v>1</v>
      </c>
      <c r="G13" s="7" t="n">
        <f aca="false">IF(AND(D13=1,F13=1),1,"")</f>
        <v>1</v>
      </c>
    </row>
    <row r="14" customFormat="false" ht="13.5" hidden="false" customHeight="true" outlineLevel="0" collapsed="false">
      <c r="A14" s="4" t="n">
        <v>19</v>
      </c>
      <c r="B14" s="5" t="s">
        <v>34</v>
      </c>
      <c r="C14" s="1" t="s">
        <v>28</v>
      </c>
      <c r="D14" s="6" t="n">
        <v>1</v>
      </c>
      <c r="E14" s="1" t="s">
        <v>21</v>
      </c>
      <c r="F14" s="6" t="n">
        <v>1</v>
      </c>
      <c r="G14" s="7" t="n">
        <f aca="false">IF(AND(D14=1,F14=1),1,"")</f>
        <v>1</v>
      </c>
    </row>
    <row r="15" customFormat="false" ht="13.5" hidden="false" customHeight="true" outlineLevel="0" collapsed="false">
      <c r="A15" s="4" t="n">
        <v>1</v>
      </c>
      <c r="B15" s="5" t="s">
        <v>35</v>
      </c>
      <c r="C15" s="1" t="s">
        <v>21</v>
      </c>
      <c r="D15" s="6" t="n">
        <v>1</v>
      </c>
      <c r="E15" s="1" t="s">
        <v>36</v>
      </c>
      <c r="F15" s="6" t="n">
        <v>30</v>
      </c>
      <c r="G15" s="7" t="str">
        <f aca="false">IF(AND(D15=1,F15=1),1,"")</f>
        <v/>
      </c>
    </row>
    <row r="16" customFormat="false" ht="13.5" hidden="false" customHeight="true" outlineLevel="0" collapsed="false">
      <c r="A16" s="4" t="n">
        <v>11</v>
      </c>
      <c r="B16" s="5" t="s">
        <v>37</v>
      </c>
      <c r="C16" s="1" t="s">
        <v>38</v>
      </c>
      <c r="D16" s="6" t="n">
        <v>1</v>
      </c>
      <c r="E16" s="1" t="s">
        <v>39</v>
      </c>
      <c r="F16" s="6" t="n">
        <v>1</v>
      </c>
      <c r="G16" s="7" t="n">
        <f aca="false">IF(AND(D16=1,F16=1),1,"")</f>
        <v>1</v>
      </c>
    </row>
    <row r="17" customFormat="false" ht="13.5" hidden="false" customHeight="true" outlineLevel="0" collapsed="false">
      <c r="A17" s="4" t="n">
        <v>12</v>
      </c>
      <c r="B17" s="5" t="s">
        <v>40</v>
      </c>
      <c r="C17" s="1" t="s">
        <v>28</v>
      </c>
      <c r="D17" s="6" t="n">
        <v>1</v>
      </c>
      <c r="E17" s="1" t="s">
        <v>17</v>
      </c>
      <c r="F17" s="6" t="n">
        <v>1</v>
      </c>
      <c r="G17" s="7" t="n">
        <f aca="false">IF(AND(D17=1,F17=1),1,"")</f>
        <v>1</v>
      </c>
    </row>
    <row r="18" customFormat="false" ht="13.5" hidden="false" customHeight="true" outlineLevel="0" collapsed="false">
      <c r="A18" s="4" t="n">
        <v>5</v>
      </c>
      <c r="B18" s="5" t="s">
        <v>41</v>
      </c>
      <c r="C18" s="1" t="s">
        <v>13</v>
      </c>
      <c r="D18" s="6" t="n">
        <v>1</v>
      </c>
      <c r="E18" s="1" t="s">
        <v>42</v>
      </c>
      <c r="F18" s="6" t="n">
        <v>1</v>
      </c>
      <c r="G18" s="7" t="n">
        <f aca="false">IF(AND(D18=1,F18=1),1,"")</f>
        <v>1</v>
      </c>
    </row>
    <row r="19" customFormat="false" ht="13.5" hidden="false" customHeight="true" outlineLevel="0" collapsed="false">
      <c r="A19" s="4" t="n">
        <v>13</v>
      </c>
      <c r="B19" s="5" t="s">
        <v>43</v>
      </c>
      <c r="C19" s="1" t="s">
        <v>44</v>
      </c>
      <c r="D19" s="6" t="n">
        <v>1</v>
      </c>
      <c r="E19" s="1" t="s">
        <v>11</v>
      </c>
      <c r="F19" s="6" t="n">
        <v>1</v>
      </c>
      <c r="G19" s="7" t="n">
        <f aca="false">IF(AND(D19=1,F19=1),1,"")</f>
        <v>1</v>
      </c>
    </row>
    <row r="20" customFormat="false" ht="13.5" hidden="false" customHeight="true" outlineLevel="0" collapsed="false">
      <c r="A20" s="4" t="n">
        <v>2</v>
      </c>
      <c r="B20" s="5" t="s">
        <v>45</v>
      </c>
      <c r="C20" s="1" t="s">
        <v>13</v>
      </c>
      <c r="D20" s="6" t="n">
        <v>1</v>
      </c>
      <c r="E20" s="1" t="s">
        <v>33</v>
      </c>
      <c r="F20" s="6" t="n">
        <v>1</v>
      </c>
      <c r="G20" s="7" t="n">
        <f aca="false">IF(AND(D20=1,F20=1),1,"")</f>
        <v>1</v>
      </c>
    </row>
    <row r="21" customFormat="false" ht="15.75" hidden="false" customHeight="true" outlineLevel="0" collapsed="false">
      <c r="A21" s="4" t="n">
        <v>4</v>
      </c>
      <c r="B21" s="5" t="s">
        <v>46</v>
      </c>
      <c r="C21" s="1" t="s">
        <v>47</v>
      </c>
      <c r="D21" s="6" t="n">
        <v>1</v>
      </c>
      <c r="E21" s="1" t="s">
        <v>48</v>
      </c>
      <c r="F21" s="6" t="n">
        <v>1</v>
      </c>
      <c r="G21" s="7" t="n">
        <f aca="false">IF(AND(D21=1,F21=1),1,"")</f>
        <v>1</v>
      </c>
    </row>
    <row r="22" customFormat="false" ht="15.75" hidden="false" customHeight="true" outlineLevel="0" collapsed="false">
      <c r="A22" s="8" t="s">
        <v>5</v>
      </c>
      <c r="D22" s="5"/>
      <c r="F22" s="5"/>
      <c r="G22" s="6" t="n">
        <f aca="false">SUM(G2:G21)</f>
        <v>13</v>
      </c>
    </row>
    <row r="23" customFormat="false" ht="15.75" hidden="false" customHeight="true" outlineLevel="0" collapsed="false">
      <c r="A23" s="4"/>
      <c r="B23" s="8"/>
      <c r="D23" s="5"/>
      <c r="F23" s="5"/>
      <c r="G23" s="6"/>
    </row>
    <row r="24" customFormat="false" ht="15.75" hidden="false" customHeight="true" outlineLevel="0" collapsed="false">
      <c r="A24" s="4" t="s">
        <v>49</v>
      </c>
      <c r="B24" s="5" t="s">
        <v>50</v>
      </c>
      <c r="C24" s="1" t="s">
        <v>31</v>
      </c>
      <c r="D24" s="6"/>
      <c r="E24" s="1" t="s">
        <v>11</v>
      </c>
      <c r="F24" s="6"/>
      <c r="G24" s="7" t="str">
        <f aca="false">IF(AND(D24=1,F24=1),1,"")</f>
        <v/>
      </c>
    </row>
    <row r="25" customFormat="false" ht="15.75" hidden="false" customHeight="true" outlineLevel="0" collapsed="false">
      <c r="A25" s="4" t="s">
        <v>49</v>
      </c>
      <c r="B25" s="5" t="s">
        <v>51</v>
      </c>
      <c r="C25" s="1" t="s">
        <v>52</v>
      </c>
      <c r="D25" s="6" t="n">
        <v>1</v>
      </c>
      <c r="E25" s="1" t="s">
        <v>53</v>
      </c>
      <c r="F25" s="6" t="n">
        <v>1</v>
      </c>
      <c r="G25" s="7" t="n">
        <f aca="false">IF(AND(D25=1,F25=1),1,"")</f>
        <v>1</v>
      </c>
    </row>
    <row r="26" customFormat="false" ht="15.75" hidden="false" customHeight="true" outlineLevel="0" collapsed="false">
      <c r="A26" s="4" t="s">
        <v>49</v>
      </c>
      <c r="B26" s="5" t="s">
        <v>54</v>
      </c>
      <c r="C26" s="1" t="s">
        <v>30</v>
      </c>
      <c r="D26" s="6" t="n">
        <v>20</v>
      </c>
      <c r="E26" s="1" t="s">
        <v>55</v>
      </c>
      <c r="F26" s="6"/>
      <c r="G26" s="7" t="str">
        <f aca="false">IF(AND(D26=1,F26=1),1,"")</f>
        <v/>
      </c>
    </row>
    <row r="27" customFormat="false" ht="15.75" hidden="false" customHeight="true" outlineLevel="0" collapsed="false">
      <c r="A27" s="4" t="s">
        <v>49</v>
      </c>
      <c r="B27" s="5" t="s">
        <v>56</v>
      </c>
      <c r="C27" s="1" t="s">
        <v>57</v>
      </c>
      <c r="D27" s="6" t="n">
        <v>1</v>
      </c>
      <c r="E27" s="1" t="s">
        <v>8</v>
      </c>
      <c r="F27" s="6" t="n">
        <v>1</v>
      </c>
      <c r="G27" s="7" t="n">
        <f aca="false">IF(AND(D27=1,F27=1),1,"")</f>
        <v>1</v>
      </c>
    </row>
    <row r="28" customFormat="false" ht="15.75" hidden="false" customHeight="true" outlineLevel="0" collapsed="false">
      <c r="A28" s="8"/>
      <c r="B28" s="8"/>
      <c r="D28" s="5"/>
      <c r="F28" s="5"/>
      <c r="G28" s="6"/>
    </row>
    <row r="29" customFormat="false" ht="15.75" hidden="false" customHeight="true" outlineLevel="0" collapsed="false">
      <c r="A29" s="4"/>
      <c r="B29" s="8"/>
      <c r="D29" s="5"/>
      <c r="F29" s="5"/>
      <c r="G29" s="6"/>
    </row>
    <row r="30" customFormat="false" ht="15.75" hidden="false" customHeight="true" outlineLevel="0" collapsed="false">
      <c r="A30" s="4" t="s">
        <v>58</v>
      </c>
      <c r="B30" s="5" t="s">
        <v>59</v>
      </c>
      <c r="C30" s="1" t="s">
        <v>11</v>
      </c>
      <c r="D30" s="6" t="n">
        <v>1</v>
      </c>
      <c r="E30" s="1" t="s">
        <v>21</v>
      </c>
      <c r="F30" s="6" t="n">
        <v>1</v>
      </c>
      <c r="G30" s="7" t="n">
        <f aca="false">IF(AND(D30=1,F30=1),1,"")</f>
        <v>1</v>
      </c>
    </row>
    <row r="31" customFormat="false" ht="15.75" hidden="false" customHeight="true" outlineLevel="0" collapsed="false">
      <c r="A31" s="4" t="s">
        <v>58</v>
      </c>
      <c r="B31" s="5" t="s">
        <v>60</v>
      </c>
      <c r="C31" s="1" t="s">
        <v>61</v>
      </c>
      <c r="D31" s="6" t="n">
        <v>1</v>
      </c>
      <c r="E31" s="1" t="s">
        <v>39</v>
      </c>
      <c r="F31" s="6" t="n">
        <v>1</v>
      </c>
      <c r="G31" s="7" t="n">
        <f aca="false">IF(AND(D31=1,F31=1),1,"")</f>
        <v>1</v>
      </c>
    </row>
    <row r="32" customFormat="false" ht="15.75" hidden="false" customHeight="true" outlineLevel="0" collapsed="false">
      <c r="A32" s="4" t="s">
        <v>58</v>
      </c>
      <c r="B32" s="5" t="s">
        <v>62</v>
      </c>
      <c r="C32" s="1" t="s">
        <v>21</v>
      </c>
      <c r="D32" s="6" t="n">
        <v>1</v>
      </c>
      <c r="E32" s="1" t="s">
        <v>63</v>
      </c>
      <c r="F32" s="6" t="n">
        <v>1</v>
      </c>
      <c r="G32" s="7" t="n">
        <f aca="false">IF(AND(D32=1,F32=1),1,"")</f>
        <v>1</v>
      </c>
    </row>
    <row r="33" customFormat="false" ht="15.75" hidden="false" customHeight="true" outlineLevel="0" collapsed="false">
      <c r="A33" s="4" t="s">
        <v>58</v>
      </c>
      <c r="B33" s="5" t="s">
        <v>64</v>
      </c>
      <c r="C33" s="1" t="s">
        <v>65</v>
      </c>
      <c r="D33" s="6"/>
      <c r="E33" s="1" t="s">
        <v>31</v>
      </c>
      <c r="F33" s="6"/>
      <c r="G33" s="7" t="str">
        <f aca="false">IF(AND(D33=1,F33=1),1,"")</f>
        <v/>
      </c>
    </row>
    <row r="34" customFormat="false" ht="15.75" hidden="false" customHeight="true" outlineLevel="0" collapsed="false">
      <c r="A34" s="8" t="s">
        <v>5</v>
      </c>
      <c r="B34" s="8"/>
      <c r="D34" s="5"/>
      <c r="F34" s="5"/>
      <c r="G34" s="6" t="n">
        <f aca="false">SUM(G24:G33)</f>
        <v>5</v>
      </c>
    </row>
    <row r="35" customFormat="false" ht="15.75" hidden="false" customHeight="true" outlineLevel="0" collapsed="false">
      <c r="A35" s="4"/>
      <c r="G35" s="9"/>
    </row>
    <row r="36" customFormat="false" ht="15.75" hidden="false" customHeight="true" outlineLevel="0" collapsed="false">
      <c r="A36" s="4"/>
      <c r="G36" s="9"/>
    </row>
    <row r="37" customFormat="false" ht="15.75" hidden="false" customHeight="true" outlineLevel="0" collapsed="false">
      <c r="A37" s="4"/>
      <c r="G37" s="9"/>
    </row>
    <row r="38" customFormat="false" ht="15.75" hidden="false" customHeight="true" outlineLevel="0" collapsed="false">
      <c r="A38" s="4"/>
    </row>
    <row r="39" customFormat="false" ht="15.75" hidden="false" customHeight="true" outlineLevel="0" collapsed="false">
      <c r="A39" s="4"/>
      <c r="G39" s="9"/>
    </row>
    <row r="40" customFormat="false" ht="15.75" hidden="false" customHeight="true" outlineLevel="0" collapsed="false">
      <c r="A40" s="4"/>
      <c r="G40" s="9"/>
    </row>
    <row r="41" customFormat="false" ht="15.75" hidden="false" customHeight="true" outlineLevel="0" collapsed="false">
      <c r="A41" s="4"/>
      <c r="G41" s="9"/>
    </row>
    <row r="42" customFormat="false" ht="15.75" hidden="false" customHeight="true" outlineLevel="0" collapsed="false">
      <c r="A42" s="4"/>
      <c r="G42" s="9"/>
    </row>
    <row r="43" customFormat="false" ht="15.75" hidden="false" customHeight="true" outlineLevel="0" collapsed="false">
      <c r="A43" s="4"/>
      <c r="G43" s="9"/>
    </row>
    <row r="44" customFormat="false" ht="15.75" hidden="false" customHeight="true" outlineLevel="0" collapsed="false">
      <c r="A44" s="4"/>
      <c r="G44" s="9"/>
    </row>
    <row r="45" customFormat="false" ht="15.75" hidden="false" customHeight="true" outlineLevel="0" collapsed="false">
      <c r="A45" s="4"/>
      <c r="G45" s="9"/>
    </row>
    <row r="46" customFormat="false" ht="15.75" hidden="false" customHeight="true" outlineLevel="0" collapsed="false">
      <c r="A46" s="4"/>
      <c r="G46" s="9"/>
    </row>
    <row r="47" customFormat="false" ht="15.75" hidden="false" customHeight="true" outlineLevel="0" collapsed="false">
      <c r="A47" s="4"/>
      <c r="G47" s="9"/>
    </row>
    <row r="48" customFormat="false" ht="15.75" hidden="false" customHeight="true" outlineLevel="0" collapsed="false">
      <c r="A48" s="4"/>
      <c r="G48" s="9"/>
    </row>
    <row r="49" customFormat="false" ht="15.75" hidden="false" customHeight="true" outlineLevel="0" collapsed="false">
      <c r="A49" s="4"/>
      <c r="G49" s="9"/>
    </row>
    <row r="50" customFormat="false" ht="15.75" hidden="false" customHeight="true" outlineLevel="0" collapsed="false">
      <c r="A50" s="4"/>
      <c r="G50" s="9"/>
    </row>
    <row r="51" customFormat="false" ht="15.75" hidden="false" customHeight="true" outlineLevel="0" collapsed="false">
      <c r="A51" s="4"/>
      <c r="G51" s="9"/>
    </row>
    <row r="52" customFormat="false" ht="15.75" hidden="false" customHeight="true" outlineLevel="0" collapsed="false">
      <c r="A52" s="4"/>
      <c r="G52" s="9"/>
    </row>
    <row r="53" customFormat="false" ht="15.75" hidden="false" customHeight="true" outlineLevel="0" collapsed="false">
      <c r="A53" s="4"/>
      <c r="G53" s="9"/>
    </row>
    <row r="54" customFormat="false" ht="15.75" hidden="false" customHeight="true" outlineLevel="0" collapsed="false">
      <c r="A54" s="4"/>
      <c r="G54" s="9"/>
    </row>
    <row r="55" customFormat="false" ht="15.75" hidden="false" customHeight="true" outlineLevel="0" collapsed="false">
      <c r="A55" s="4"/>
      <c r="G55" s="9"/>
    </row>
    <row r="56" customFormat="false" ht="15.75" hidden="false" customHeight="true" outlineLevel="0" collapsed="false">
      <c r="A56" s="4"/>
      <c r="G56" s="9"/>
    </row>
    <row r="57" customFormat="false" ht="15.75" hidden="false" customHeight="true" outlineLevel="0" collapsed="false">
      <c r="A57" s="4"/>
      <c r="G57" s="9"/>
    </row>
    <row r="58" customFormat="false" ht="15.75" hidden="false" customHeight="true" outlineLevel="0" collapsed="false">
      <c r="A58" s="4"/>
      <c r="G58" s="9"/>
    </row>
    <row r="59" customFormat="false" ht="15.75" hidden="false" customHeight="true" outlineLevel="0" collapsed="false">
      <c r="A59" s="4"/>
      <c r="G59" s="9"/>
    </row>
    <row r="60" customFormat="false" ht="15.75" hidden="false" customHeight="true" outlineLevel="0" collapsed="false">
      <c r="A60" s="4"/>
      <c r="G60" s="9"/>
    </row>
    <row r="61" customFormat="false" ht="15.75" hidden="false" customHeight="true" outlineLevel="0" collapsed="false">
      <c r="A61" s="4"/>
      <c r="G61" s="9"/>
    </row>
    <row r="62" customFormat="false" ht="15.75" hidden="false" customHeight="true" outlineLevel="0" collapsed="false">
      <c r="A62" s="4"/>
      <c r="G62" s="9"/>
    </row>
    <row r="63" customFormat="false" ht="15.75" hidden="false" customHeight="true" outlineLevel="0" collapsed="false">
      <c r="A63" s="4"/>
      <c r="G63" s="9"/>
    </row>
    <row r="64" customFormat="false" ht="15.75" hidden="false" customHeight="true" outlineLevel="0" collapsed="false">
      <c r="A64" s="4"/>
      <c r="G64" s="9"/>
    </row>
    <row r="65" customFormat="false" ht="15.75" hidden="false" customHeight="true" outlineLevel="0" collapsed="false">
      <c r="A65" s="4"/>
      <c r="G65" s="9"/>
    </row>
    <row r="66" customFormat="false" ht="15.75" hidden="false" customHeight="true" outlineLevel="0" collapsed="false">
      <c r="A66" s="4"/>
      <c r="G66" s="9"/>
    </row>
    <row r="67" customFormat="false" ht="15.75" hidden="false" customHeight="true" outlineLevel="0" collapsed="false">
      <c r="A67" s="4"/>
      <c r="G67" s="9"/>
    </row>
    <row r="68" customFormat="false" ht="15.75" hidden="false" customHeight="true" outlineLevel="0" collapsed="false">
      <c r="A68" s="4"/>
      <c r="G68" s="9"/>
    </row>
    <row r="69" customFormat="false" ht="15.75" hidden="false" customHeight="true" outlineLevel="0" collapsed="false">
      <c r="A69" s="4"/>
      <c r="G69" s="9"/>
    </row>
    <row r="70" customFormat="false" ht="15.75" hidden="false" customHeight="true" outlineLevel="0" collapsed="false">
      <c r="A70" s="4"/>
      <c r="G70" s="9"/>
    </row>
    <row r="71" customFormat="false" ht="15.75" hidden="false" customHeight="true" outlineLevel="0" collapsed="false">
      <c r="A71" s="4"/>
      <c r="G71" s="9"/>
    </row>
    <row r="72" customFormat="false" ht="15.75" hidden="false" customHeight="true" outlineLevel="0" collapsed="false">
      <c r="A72" s="4"/>
      <c r="G72" s="9"/>
    </row>
    <row r="73" customFormat="false" ht="15.75" hidden="false" customHeight="true" outlineLevel="0" collapsed="false">
      <c r="A73" s="4"/>
      <c r="G73" s="9"/>
    </row>
    <row r="74" customFormat="false" ht="15.75" hidden="false" customHeight="true" outlineLevel="0" collapsed="false">
      <c r="A74" s="4"/>
      <c r="G74" s="9"/>
    </row>
    <row r="75" customFormat="false" ht="15.75" hidden="false" customHeight="true" outlineLevel="0" collapsed="false">
      <c r="A75" s="4"/>
      <c r="G75" s="9"/>
    </row>
    <row r="76" customFormat="false" ht="15.75" hidden="false" customHeight="true" outlineLevel="0" collapsed="false">
      <c r="A76" s="4"/>
      <c r="G76" s="9"/>
    </row>
    <row r="77" customFormat="false" ht="15.75" hidden="false" customHeight="true" outlineLevel="0" collapsed="false">
      <c r="A77" s="4"/>
      <c r="G77" s="9"/>
    </row>
    <row r="78" customFormat="false" ht="15.75" hidden="false" customHeight="true" outlineLevel="0" collapsed="false">
      <c r="A78" s="4"/>
      <c r="G78" s="9"/>
    </row>
    <row r="79" customFormat="false" ht="15.75" hidden="false" customHeight="true" outlineLevel="0" collapsed="false">
      <c r="A79" s="4"/>
      <c r="G79" s="9"/>
    </row>
    <row r="80" customFormat="false" ht="15.75" hidden="false" customHeight="true" outlineLevel="0" collapsed="false">
      <c r="A80" s="4"/>
      <c r="G80" s="9"/>
    </row>
    <row r="81" customFormat="false" ht="15.75" hidden="false" customHeight="true" outlineLevel="0" collapsed="false">
      <c r="A81" s="4"/>
      <c r="G81" s="9"/>
    </row>
    <row r="82" customFormat="false" ht="15.75" hidden="false" customHeight="true" outlineLevel="0" collapsed="false">
      <c r="A82" s="4"/>
      <c r="G82" s="9"/>
    </row>
    <row r="83" customFormat="false" ht="15.75" hidden="false" customHeight="true" outlineLevel="0" collapsed="false">
      <c r="A83" s="4"/>
      <c r="G83" s="9"/>
    </row>
    <row r="84" customFormat="false" ht="15.75" hidden="false" customHeight="true" outlineLevel="0" collapsed="false">
      <c r="A84" s="4"/>
      <c r="G84" s="9"/>
    </row>
    <row r="85" customFormat="false" ht="15.75" hidden="false" customHeight="true" outlineLevel="0" collapsed="false">
      <c r="A85" s="4"/>
      <c r="G85" s="9"/>
    </row>
    <row r="86" customFormat="false" ht="15.75" hidden="false" customHeight="true" outlineLevel="0" collapsed="false">
      <c r="A86" s="4"/>
      <c r="G86" s="9"/>
    </row>
    <row r="87" customFormat="false" ht="15.75" hidden="false" customHeight="true" outlineLevel="0" collapsed="false">
      <c r="A87" s="4"/>
      <c r="G87" s="9"/>
    </row>
    <row r="88" customFormat="false" ht="15.75" hidden="false" customHeight="true" outlineLevel="0" collapsed="false">
      <c r="A88" s="4"/>
      <c r="G88" s="9"/>
    </row>
    <row r="89" customFormat="false" ht="15.75" hidden="false" customHeight="true" outlineLevel="0" collapsed="false">
      <c r="A89" s="4"/>
      <c r="G89" s="9"/>
    </row>
    <row r="90" customFormat="false" ht="15.75" hidden="false" customHeight="true" outlineLevel="0" collapsed="false">
      <c r="A90" s="4"/>
      <c r="G90" s="9"/>
    </row>
    <row r="91" customFormat="false" ht="15.75" hidden="false" customHeight="true" outlineLevel="0" collapsed="false">
      <c r="A91" s="4"/>
      <c r="G91" s="9"/>
    </row>
    <row r="92" customFormat="false" ht="15.75" hidden="false" customHeight="true" outlineLevel="0" collapsed="false">
      <c r="A92" s="4"/>
      <c r="G92" s="9"/>
    </row>
    <row r="93" customFormat="false" ht="15.75" hidden="false" customHeight="true" outlineLevel="0" collapsed="false">
      <c r="A93" s="4"/>
      <c r="G93" s="9"/>
    </row>
    <row r="94" customFormat="false" ht="15.75" hidden="false" customHeight="true" outlineLevel="0" collapsed="false">
      <c r="A94" s="4"/>
      <c r="G94" s="9"/>
    </row>
    <row r="95" customFormat="false" ht="15.75" hidden="false" customHeight="true" outlineLevel="0" collapsed="false">
      <c r="A95" s="4"/>
      <c r="G95" s="9"/>
    </row>
    <row r="96" customFormat="false" ht="15.75" hidden="false" customHeight="true" outlineLevel="0" collapsed="false">
      <c r="A96" s="4"/>
      <c r="G96" s="9"/>
    </row>
    <row r="97" customFormat="false" ht="15.75" hidden="false" customHeight="true" outlineLevel="0" collapsed="false">
      <c r="A97" s="4"/>
      <c r="G97" s="9"/>
    </row>
    <row r="98" customFormat="false" ht="15.75" hidden="false" customHeight="true" outlineLevel="0" collapsed="false">
      <c r="A98" s="4"/>
      <c r="G98" s="9"/>
    </row>
    <row r="99" customFormat="false" ht="15.75" hidden="false" customHeight="true" outlineLevel="0" collapsed="false">
      <c r="A99" s="4"/>
      <c r="G99" s="9"/>
    </row>
    <row r="100" customFormat="false" ht="15.75" hidden="false" customHeight="true" outlineLevel="0" collapsed="false">
      <c r="A100" s="4"/>
      <c r="G100" s="9"/>
    </row>
    <row r="101" customFormat="false" ht="15.75" hidden="false" customHeight="true" outlineLevel="0" collapsed="false">
      <c r="A101" s="4"/>
      <c r="G101" s="9"/>
    </row>
    <row r="102" customFormat="false" ht="15.75" hidden="false" customHeight="true" outlineLevel="0" collapsed="false">
      <c r="A102" s="4"/>
      <c r="G102" s="9"/>
    </row>
    <row r="103" customFormat="false" ht="15.75" hidden="false" customHeight="true" outlineLevel="0" collapsed="false">
      <c r="A103" s="4"/>
      <c r="G103" s="9"/>
    </row>
    <row r="104" customFormat="false" ht="15.75" hidden="false" customHeight="true" outlineLevel="0" collapsed="false">
      <c r="A104" s="4"/>
      <c r="G104" s="9"/>
    </row>
    <row r="105" customFormat="false" ht="15.75" hidden="false" customHeight="true" outlineLevel="0" collapsed="false">
      <c r="A105" s="4"/>
      <c r="G105" s="9"/>
    </row>
    <row r="106" customFormat="false" ht="15.75" hidden="false" customHeight="true" outlineLevel="0" collapsed="false">
      <c r="A106" s="4"/>
      <c r="G106" s="9"/>
    </row>
    <row r="107" customFormat="false" ht="15.75" hidden="false" customHeight="true" outlineLevel="0" collapsed="false">
      <c r="A107" s="4"/>
      <c r="G107" s="9"/>
    </row>
    <row r="108" customFormat="false" ht="15.75" hidden="false" customHeight="true" outlineLevel="0" collapsed="false">
      <c r="A108" s="4"/>
      <c r="G108" s="9"/>
    </row>
    <row r="109" customFormat="false" ht="15.75" hidden="false" customHeight="true" outlineLevel="0" collapsed="false">
      <c r="A109" s="4"/>
      <c r="G109" s="9"/>
    </row>
    <row r="110" customFormat="false" ht="15.75" hidden="false" customHeight="true" outlineLevel="0" collapsed="false">
      <c r="A110" s="4"/>
      <c r="G110" s="9"/>
    </row>
    <row r="111" customFormat="false" ht="15.75" hidden="false" customHeight="true" outlineLevel="0" collapsed="false">
      <c r="A111" s="4"/>
      <c r="G111" s="9"/>
    </row>
    <row r="112" customFormat="false" ht="15.75" hidden="false" customHeight="true" outlineLevel="0" collapsed="false">
      <c r="A112" s="4"/>
      <c r="G112" s="9"/>
    </row>
    <row r="113" customFormat="false" ht="15.75" hidden="false" customHeight="true" outlineLevel="0" collapsed="false">
      <c r="A113" s="4"/>
      <c r="G113" s="9"/>
    </row>
    <row r="114" customFormat="false" ht="15.75" hidden="false" customHeight="true" outlineLevel="0" collapsed="false">
      <c r="A114" s="4"/>
      <c r="G114" s="9"/>
    </row>
    <row r="115" customFormat="false" ht="15.75" hidden="false" customHeight="true" outlineLevel="0" collapsed="false">
      <c r="A115" s="4"/>
      <c r="G115" s="9"/>
    </row>
    <row r="116" customFormat="false" ht="15.75" hidden="false" customHeight="true" outlineLevel="0" collapsed="false">
      <c r="A116" s="4"/>
      <c r="G116" s="9"/>
    </row>
    <row r="117" customFormat="false" ht="15.75" hidden="false" customHeight="true" outlineLevel="0" collapsed="false">
      <c r="A117" s="4"/>
      <c r="G117" s="9"/>
    </row>
    <row r="118" customFormat="false" ht="15.75" hidden="false" customHeight="true" outlineLevel="0" collapsed="false">
      <c r="A118" s="4"/>
      <c r="G118" s="9"/>
    </row>
    <row r="119" customFormat="false" ht="15.75" hidden="false" customHeight="true" outlineLevel="0" collapsed="false">
      <c r="A119" s="4"/>
      <c r="G119" s="9"/>
    </row>
    <row r="120" customFormat="false" ht="15.75" hidden="false" customHeight="true" outlineLevel="0" collapsed="false">
      <c r="A120" s="4"/>
      <c r="G120" s="9"/>
    </row>
    <row r="121" customFormat="false" ht="15.75" hidden="false" customHeight="true" outlineLevel="0" collapsed="false">
      <c r="A121" s="4"/>
      <c r="G121" s="9"/>
    </row>
    <row r="122" customFormat="false" ht="15.75" hidden="false" customHeight="true" outlineLevel="0" collapsed="false">
      <c r="A122" s="4"/>
      <c r="G122" s="9"/>
    </row>
    <row r="123" customFormat="false" ht="15.75" hidden="false" customHeight="true" outlineLevel="0" collapsed="false">
      <c r="A123" s="4"/>
      <c r="G123" s="9"/>
    </row>
    <row r="124" customFormat="false" ht="15.75" hidden="false" customHeight="true" outlineLevel="0" collapsed="false">
      <c r="A124" s="4"/>
      <c r="G124" s="9"/>
    </row>
    <row r="125" customFormat="false" ht="15.75" hidden="false" customHeight="true" outlineLevel="0" collapsed="false">
      <c r="A125" s="4"/>
      <c r="G125" s="9"/>
    </row>
    <row r="126" customFormat="false" ht="15.75" hidden="false" customHeight="true" outlineLevel="0" collapsed="false">
      <c r="A126" s="4"/>
      <c r="G126" s="9"/>
    </row>
    <row r="127" customFormat="false" ht="15.75" hidden="false" customHeight="true" outlineLevel="0" collapsed="false">
      <c r="A127" s="4"/>
      <c r="G127" s="9"/>
    </row>
    <row r="128" customFormat="false" ht="15.75" hidden="false" customHeight="true" outlineLevel="0" collapsed="false">
      <c r="A128" s="4"/>
      <c r="G128" s="9"/>
    </row>
    <row r="129" customFormat="false" ht="15.75" hidden="false" customHeight="true" outlineLevel="0" collapsed="false">
      <c r="A129" s="4"/>
      <c r="G129" s="9"/>
    </row>
    <row r="130" customFormat="false" ht="15.75" hidden="false" customHeight="true" outlineLevel="0" collapsed="false">
      <c r="A130" s="4"/>
      <c r="G130" s="9"/>
    </row>
    <row r="131" customFormat="false" ht="15.75" hidden="false" customHeight="true" outlineLevel="0" collapsed="false">
      <c r="A131" s="4"/>
      <c r="G131" s="9"/>
    </row>
    <row r="132" customFormat="false" ht="15.75" hidden="false" customHeight="true" outlineLevel="0" collapsed="false">
      <c r="A132" s="4"/>
      <c r="G132" s="9"/>
    </row>
    <row r="133" customFormat="false" ht="15.75" hidden="false" customHeight="true" outlineLevel="0" collapsed="false">
      <c r="A133" s="4"/>
      <c r="G133" s="9"/>
    </row>
    <row r="134" customFormat="false" ht="15.75" hidden="false" customHeight="true" outlineLevel="0" collapsed="false">
      <c r="A134" s="4"/>
      <c r="G134" s="9"/>
    </row>
    <row r="135" customFormat="false" ht="15.75" hidden="false" customHeight="true" outlineLevel="0" collapsed="false">
      <c r="A135" s="4"/>
      <c r="G135" s="9"/>
    </row>
    <row r="136" customFormat="false" ht="15.75" hidden="false" customHeight="true" outlineLevel="0" collapsed="false">
      <c r="A136" s="4"/>
      <c r="G136" s="9"/>
    </row>
    <row r="137" customFormat="false" ht="15.75" hidden="false" customHeight="true" outlineLevel="0" collapsed="false">
      <c r="A137" s="4"/>
      <c r="G137" s="9"/>
    </row>
    <row r="138" customFormat="false" ht="15.75" hidden="false" customHeight="true" outlineLevel="0" collapsed="false">
      <c r="A138" s="4"/>
      <c r="G138" s="9"/>
    </row>
    <row r="139" customFormat="false" ht="15.75" hidden="false" customHeight="true" outlineLevel="0" collapsed="false">
      <c r="A139" s="4"/>
      <c r="G139" s="9"/>
    </row>
    <row r="140" customFormat="false" ht="15.75" hidden="false" customHeight="true" outlineLevel="0" collapsed="false">
      <c r="A140" s="4"/>
      <c r="G140" s="9"/>
    </row>
    <row r="141" customFormat="false" ht="15.75" hidden="false" customHeight="true" outlineLevel="0" collapsed="false">
      <c r="A141" s="4"/>
      <c r="G141" s="9"/>
    </row>
    <row r="142" customFormat="false" ht="15.75" hidden="false" customHeight="true" outlineLevel="0" collapsed="false">
      <c r="A142" s="4"/>
      <c r="G142" s="9"/>
    </row>
    <row r="143" customFormat="false" ht="15.75" hidden="false" customHeight="true" outlineLevel="0" collapsed="false">
      <c r="A143" s="4"/>
      <c r="G143" s="9"/>
    </row>
    <row r="144" customFormat="false" ht="15.75" hidden="false" customHeight="true" outlineLevel="0" collapsed="false">
      <c r="A144" s="4"/>
      <c r="G144" s="9"/>
    </row>
    <row r="145" customFormat="false" ht="15.75" hidden="false" customHeight="true" outlineLevel="0" collapsed="false">
      <c r="A145" s="4"/>
      <c r="G145" s="9"/>
    </row>
    <row r="146" customFormat="false" ht="15.75" hidden="false" customHeight="true" outlineLevel="0" collapsed="false">
      <c r="A146" s="4"/>
      <c r="G146" s="9"/>
    </row>
    <row r="147" customFormat="false" ht="15.75" hidden="false" customHeight="true" outlineLevel="0" collapsed="false">
      <c r="A147" s="4"/>
      <c r="G147" s="9"/>
    </row>
    <row r="148" customFormat="false" ht="15.75" hidden="false" customHeight="true" outlineLevel="0" collapsed="false">
      <c r="A148" s="4"/>
      <c r="G148" s="9"/>
    </row>
    <row r="149" customFormat="false" ht="15.75" hidden="false" customHeight="true" outlineLevel="0" collapsed="false">
      <c r="A149" s="4"/>
      <c r="G149" s="9"/>
    </row>
    <row r="150" customFormat="false" ht="15.75" hidden="false" customHeight="true" outlineLevel="0" collapsed="false">
      <c r="A150" s="4"/>
      <c r="G150" s="9"/>
    </row>
    <row r="151" customFormat="false" ht="15.75" hidden="false" customHeight="true" outlineLevel="0" collapsed="false">
      <c r="A151" s="4"/>
      <c r="G151" s="9"/>
    </row>
    <row r="152" customFormat="false" ht="15.75" hidden="false" customHeight="true" outlineLevel="0" collapsed="false">
      <c r="A152" s="4"/>
      <c r="G152" s="9"/>
    </row>
    <row r="153" customFormat="false" ht="15.75" hidden="false" customHeight="true" outlineLevel="0" collapsed="false">
      <c r="A153" s="4"/>
      <c r="G153" s="9"/>
    </row>
    <row r="154" customFormat="false" ht="15.75" hidden="false" customHeight="true" outlineLevel="0" collapsed="false">
      <c r="A154" s="4"/>
      <c r="G154" s="9"/>
    </row>
    <row r="155" customFormat="false" ht="15.75" hidden="false" customHeight="true" outlineLevel="0" collapsed="false">
      <c r="A155" s="4"/>
      <c r="G155" s="9"/>
    </row>
    <row r="156" customFormat="false" ht="15.75" hidden="false" customHeight="true" outlineLevel="0" collapsed="false">
      <c r="A156" s="4"/>
      <c r="G156" s="9"/>
    </row>
    <row r="157" customFormat="false" ht="15.75" hidden="false" customHeight="true" outlineLevel="0" collapsed="false">
      <c r="A157" s="4"/>
      <c r="G157" s="9"/>
    </row>
    <row r="158" customFormat="false" ht="15.75" hidden="false" customHeight="true" outlineLevel="0" collapsed="false">
      <c r="A158" s="4"/>
      <c r="G158" s="9"/>
    </row>
    <row r="159" customFormat="false" ht="15.75" hidden="false" customHeight="true" outlineLevel="0" collapsed="false">
      <c r="A159" s="4"/>
      <c r="G159" s="9"/>
    </row>
    <row r="160" customFormat="false" ht="15.75" hidden="false" customHeight="true" outlineLevel="0" collapsed="false">
      <c r="A160" s="4"/>
      <c r="G160" s="9"/>
    </row>
    <row r="161" customFormat="false" ht="15.75" hidden="false" customHeight="true" outlineLevel="0" collapsed="false">
      <c r="A161" s="4"/>
      <c r="G161" s="9"/>
    </row>
    <row r="162" customFormat="false" ht="15.75" hidden="false" customHeight="true" outlineLevel="0" collapsed="false">
      <c r="A162" s="4"/>
      <c r="G162" s="9"/>
    </row>
    <row r="163" customFormat="false" ht="15.75" hidden="false" customHeight="true" outlineLevel="0" collapsed="false">
      <c r="A163" s="4"/>
      <c r="G163" s="9"/>
    </row>
    <row r="164" customFormat="false" ht="15.75" hidden="false" customHeight="true" outlineLevel="0" collapsed="false">
      <c r="A164" s="4"/>
      <c r="G164" s="9"/>
    </row>
    <row r="165" customFormat="false" ht="15.75" hidden="false" customHeight="true" outlineLevel="0" collapsed="false">
      <c r="A165" s="4"/>
      <c r="G165" s="9"/>
    </row>
    <row r="166" customFormat="false" ht="15.75" hidden="false" customHeight="true" outlineLevel="0" collapsed="false">
      <c r="A166" s="4"/>
      <c r="G166" s="9"/>
    </row>
    <row r="167" customFormat="false" ht="15.75" hidden="false" customHeight="true" outlineLevel="0" collapsed="false">
      <c r="A167" s="4"/>
      <c r="G167" s="9"/>
    </row>
    <row r="168" customFormat="false" ht="15.75" hidden="false" customHeight="true" outlineLevel="0" collapsed="false">
      <c r="A168" s="4"/>
      <c r="G168" s="9"/>
    </row>
    <row r="169" customFormat="false" ht="15.75" hidden="false" customHeight="true" outlineLevel="0" collapsed="false">
      <c r="A169" s="4"/>
      <c r="G169" s="9"/>
    </row>
    <row r="170" customFormat="false" ht="15.75" hidden="false" customHeight="true" outlineLevel="0" collapsed="false">
      <c r="A170" s="4"/>
      <c r="G170" s="9"/>
    </row>
    <row r="171" customFormat="false" ht="15.75" hidden="false" customHeight="true" outlineLevel="0" collapsed="false">
      <c r="A171" s="4"/>
      <c r="G171" s="9"/>
    </row>
    <row r="172" customFormat="false" ht="15.75" hidden="false" customHeight="true" outlineLevel="0" collapsed="false">
      <c r="A172" s="4"/>
      <c r="G172" s="9"/>
    </row>
    <row r="173" customFormat="false" ht="15.75" hidden="false" customHeight="true" outlineLevel="0" collapsed="false">
      <c r="A173" s="4"/>
      <c r="G173" s="9"/>
    </row>
    <row r="174" customFormat="false" ht="15.75" hidden="false" customHeight="true" outlineLevel="0" collapsed="false">
      <c r="A174" s="4"/>
      <c r="G174" s="9"/>
    </row>
    <row r="175" customFormat="false" ht="15.75" hidden="false" customHeight="true" outlineLevel="0" collapsed="false">
      <c r="A175" s="4"/>
      <c r="G175" s="9"/>
    </row>
    <row r="176" customFormat="false" ht="15.75" hidden="false" customHeight="true" outlineLevel="0" collapsed="false">
      <c r="A176" s="4"/>
      <c r="G176" s="9"/>
    </row>
    <row r="177" customFormat="false" ht="15.75" hidden="false" customHeight="true" outlineLevel="0" collapsed="false">
      <c r="A177" s="4"/>
      <c r="G177" s="9"/>
    </row>
    <row r="178" customFormat="false" ht="15.75" hidden="false" customHeight="true" outlineLevel="0" collapsed="false">
      <c r="A178" s="4"/>
      <c r="G178" s="9"/>
    </row>
    <row r="179" customFormat="false" ht="15.75" hidden="false" customHeight="true" outlineLevel="0" collapsed="false">
      <c r="A179" s="4"/>
      <c r="G179" s="9"/>
    </row>
    <row r="180" customFormat="false" ht="15.75" hidden="false" customHeight="true" outlineLevel="0" collapsed="false">
      <c r="A180" s="4"/>
      <c r="G180" s="9"/>
    </row>
    <row r="181" customFormat="false" ht="15.75" hidden="false" customHeight="true" outlineLevel="0" collapsed="false">
      <c r="A181" s="4"/>
      <c r="G181" s="9"/>
    </row>
    <row r="182" customFormat="false" ht="15.75" hidden="false" customHeight="true" outlineLevel="0" collapsed="false">
      <c r="A182" s="4"/>
      <c r="G182" s="9"/>
    </row>
    <row r="183" customFormat="false" ht="15.75" hidden="false" customHeight="true" outlineLevel="0" collapsed="false">
      <c r="A183" s="4"/>
      <c r="G183" s="9"/>
    </row>
    <row r="184" customFormat="false" ht="15.75" hidden="false" customHeight="true" outlineLevel="0" collapsed="false">
      <c r="A184" s="4"/>
      <c r="G184" s="9"/>
    </row>
    <row r="185" customFormat="false" ht="15.75" hidden="false" customHeight="true" outlineLevel="0" collapsed="false">
      <c r="A185" s="4"/>
      <c r="G185" s="9"/>
    </row>
    <row r="186" customFormat="false" ht="15.75" hidden="false" customHeight="true" outlineLevel="0" collapsed="false">
      <c r="A186" s="4"/>
      <c r="G186" s="9"/>
    </row>
    <row r="187" customFormat="false" ht="15.75" hidden="false" customHeight="true" outlineLevel="0" collapsed="false">
      <c r="A187" s="4"/>
      <c r="G187" s="9"/>
    </row>
    <row r="188" customFormat="false" ht="15.75" hidden="false" customHeight="true" outlineLevel="0" collapsed="false">
      <c r="A188" s="4"/>
      <c r="G188" s="9"/>
    </row>
    <row r="189" customFormat="false" ht="15.75" hidden="false" customHeight="true" outlineLevel="0" collapsed="false">
      <c r="A189" s="4"/>
      <c r="G189" s="9"/>
    </row>
    <row r="190" customFormat="false" ht="15.75" hidden="false" customHeight="true" outlineLevel="0" collapsed="false">
      <c r="A190" s="4"/>
      <c r="G190" s="9"/>
    </row>
    <row r="191" customFormat="false" ht="15.75" hidden="false" customHeight="true" outlineLevel="0" collapsed="false">
      <c r="A191" s="4"/>
      <c r="G191" s="9"/>
    </row>
    <row r="192" customFormat="false" ht="15.75" hidden="false" customHeight="true" outlineLevel="0" collapsed="false">
      <c r="A192" s="4"/>
      <c r="G192" s="9"/>
    </row>
    <row r="193" customFormat="false" ht="15.75" hidden="false" customHeight="true" outlineLevel="0" collapsed="false">
      <c r="A193" s="4"/>
      <c r="G193" s="9"/>
    </row>
    <row r="194" customFormat="false" ht="15.75" hidden="false" customHeight="true" outlineLevel="0" collapsed="false">
      <c r="A194" s="4"/>
      <c r="G194" s="9"/>
    </row>
    <row r="195" customFormat="false" ht="15.75" hidden="false" customHeight="true" outlineLevel="0" collapsed="false">
      <c r="A195" s="4"/>
      <c r="G195" s="9"/>
    </row>
    <row r="196" customFormat="false" ht="15.75" hidden="false" customHeight="true" outlineLevel="0" collapsed="false">
      <c r="A196" s="4"/>
      <c r="G196" s="9"/>
    </row>
    <row r="197" customFormat="false" ht="15.75" hidden="false" customHeight="true" outlineLevel="0" collapsed="false">
      <c r="A197" s="4"/>
      <c r="G197" s="9"/>
    </row>
    <row r="198" customFormat="false" ht="15.75" hidden="false" customHeight="true" outlineLevel="0" collapsed="false">
      <c r="A198" s="4"/>
      <c r="G198" s="9"/>
    </row>
    <row r="199" customFormat="false" ht="15.75" hidden="false" customHeight="true" outlineLevel="0" collapsed="false">
      <c r="A199" s="4"/>
      <c r="G199" s="9"/>
    </row>
    <row r="200" customFormat="false" ht="15.75" hidden="false" customHeight="true" outlineLevel="0" collapsed="false">
      <c r="A200" s="4"/>
      <c r="G200" s="9"/>
    </row>
    <row r="201" customFormat="false" ht="15.75" hidden="false" customHeight="true" outlineLevel="0" collapsed="false">
      <c r="A201" s="4"/>
      <c r="G201" s="9"/>
    </row>
    <row r="202" customFormat="false" ht="15.75" hidden="false" customHeight="true" outlineLevel="0" collapsed="false">
      <c r="A202" s="4"/>
      <c r="G202" s="9"/>
    </row>
    <row r="203" customFormat="false" ht="15.75" hidden="false" customHeight="true" outlineLevel="0" collapsed="false">
      <c r="A203" s="4"/>
      <c r="G203" s="9"/>
    </row>
    <row r="204" customFormat="false" ht="15.75" hidden="false" customHeight="true" outlineLevel="0" collapsed="false">
      <c r="A204" s="4"/>
      <c r="G204" s="9"/>
    </row>
    <row r="205" customFormat="false" ht="15.75" hidden="false" customHeight="true" outlineLevel="0" collapsed="false">
      <c r="A205" s="4"/>
      <c r="G205" s="9"/>
    </row>
    <row r="206" customFormat="false" ht="15.75" hidden="false" customHeight="true" outlineLevel="0" collapsed="false">
      <c r="A206" s="4"/>
      <c r="G206" s="9"/>
    </row>
    <row r="207" customFormat="false" ht="15.75" hidden="false" customHeight="true" outlineLevel="0" collapsed="false">
      <c r="A207" s="4"/>
      <c r="G207" s="9"/>
    </row>
    <row r="208" customFormat="false" ht="15.75" hidden="false" customHeight="true" outlineLevel="0" collapsed="false">
      <c r="A208" s="4"/>
      <c r="G208" s="9"/>
    </row>
    <row r="209" customFormat="false" ht="15.75" hidden="false" customHeight="true" outlineLevel="0" collapsed="false">
      <c r="A209" s="4"/>
      <c r="G209" s="9"/>
    </row>
    <row r="210" customFormat="false" ht="15.75" hidden="false" customHeight="true" outlineLevel="0" collapsed="false">
      <c r="A210" s="4"/>
      <c r="G210" s="9"/>
    </row>
    <row r="211" customFormat="false" ht="15.75" hidden="false" customHeight="true" outlineLevel="0" collapsed="false">
      <c r="A211" s="4"/>
      <c r="G211" s="9"/>
    </row>
    <row r="212" customFormat="false" ht="15.75" hidden="false" customHeight="true" outlineLevel="0" collapsed="false">
      <c r="A212" s="4"/>
      <c r="G212" s="9"/>
    </row>
    <row r="213" customFormat="false" ht="15.75" hidden="false" customHeight="true" outlineLevel="0" collapsed="false">
      <c r="A213" s="4"/>
      <c r="G213" s="9"/>
    </row>
    <row r="214" customFormat="false" ht="15.75" hidden="false" customHeight="true" outlineLevel="0" collapsed="false">
      <c r="A214" s="4"/>
      <c r="G214" s="9"/>
    </row>
    <row r="215" customFormat="false" ht="15.75" hidden="false" customHeight="true" outlineLevel="0" collapsed="false">
      <c r="A215" s="4"/>
      <c r="G215" s="9"/>
    </row>
    <row r="216" customFormat="false" ht="15.75" hidden="false" customHeight="true" outlineLevel="0" collapsed="false">
      <c r="A216" s="4"/>
      <c r="G216" s="9"/>
    </row>
    <row r="217" customFormat="false" ht="15.75" hidden="false" customHeight="true" outlineLevel="0" collapsed="false">
      <c r="A217" s="4"/>
      <c r="G217" s="9"/>
    </row>
    <row r="218" customFormat="false" ht="15.75" hidden="false" customHeight="true" outlineLevel="0" collapsed="false">
      <c r="A218" s="4"/>
      <c r="G218" s="9"/>
    </row>
    <row r="219" customFormat="false" ht="15.75" hidden="false" customHeight="true" outlineLevel="0" collapsed="false">
      <c r="A219" s="4"/>
      <c r="G219" s="9"/>
    </row>
    <row r="220" customFormat="false" ht="15.75" hidden="false" customHeight="true" outlineLevel="0" collapsed="false">
      <c r="A220" s="4"/>
      <c r="G220" s="9"/>
    </row>
    <row r="221" customFormat="false" ht="15.75" hidden="false" customHeight="true" outlineLevel="0" collapsed="false">
      <c r="A221" s="4"/>
      <c r="G221" s="9"/>
    </row>
    <row r="222" customFormat="false" ht="15.75" hidden="false" customHeight="true" outlineLevel="0" collapsed="false">
      <c r="A222" s="4"/>
      <c r="G222" s="9"/>
    </row>
    <row r="223" customFormat="false" ht="15.75" hidden="false" customHeight="true" outlineLevel="0" collapsed="false">
      <c r="A223" s="4"/>
      <c r="G223" s="9"/>
    </row>
    <row r="224" customFormat="false" ht="15.75" hidden="false" customHeight="true" outlineLevel="0" collapsed="false">
      <c r="A224" s="4"/>
      <c r="G224" s="9"/>
    </row>
    <row r="225" customFormat="false" ht="15.75" hidden="false" customHeight="true" outlineLevel="0" collapsed="false">
      <c r="A225" s="4"/>
      <c r="G225" s="9"/>
    </row>
    <row r="226" customFormat="false" ht="15.75" hidden="false" customHeight="true" outlineLevel="0" collapsed="false">
      <c r="A226" s="4"/>
      <c r="G226" s="9"/>
    </row>
    <row r="227" customFormat="false" ht="15.75" hidden="false" customHeight="true" outlineLevel="0" collapsed="false">
      <c r="A227" s="4"/>
      <c r="G227" s="9"/>
    </row>
    <row r="228" customFormat="false" ht="15.75" hidden="false" customHeight="true" outlineLevel="0" collapsed="false">
      <c r="A228" s="4"/>
      <c r="G228" s="9"/>
    </row>
    <row r="229" customFormat="false" ht="15.75" hidden="false" customHeight="true" outlineLevel="0" collapsed="false">
      <c r="A229" s="4"/>
      <c r="G229" s="9"/>
    </row>
    <row r="230" customFormat="false" ht="15.75" hidden="false" customHeight="true" outlineLevel="0" collapsed="false">
      <c r="A230" s="4"/>
      <c r="G230" s="9"/>
    </row>
    <row r="231" customFormat="false" ht="15.75" hidden="false" customHeight="true" outlineLevel="0" collapsed="false">
      <c r="A231" s="4"/>
      <c r="G231" s="9"/>
    </row>
    <row r="232" customFormat="false" ht="15.75" hidden="false" customHeight="true" outlineLevel="0" collapsed="false">
      <c r="A232" s="4"/>
      <c r="G232" s="9"/>
    </row>
    <row r="233" customFormat="false" ht="15.75" hidden="false" customHeight="true" outlineLevel="0" collapsed="false">
      <c r="A233" s="4"/>
      <c r="G233" s="9"/>
    </row>
    <row r="234" customFormat="false" ht="12.75" hidden="false" customHeight="true" outlineLevel="0" collapsed="false">
      <c r="A234" s="4"/>
      <c r="G234" s="9"/>
    </row>
    <row r="235" customFormat="false" ht="15.75" hidden="false" customHeight="true" outlineLevel="0" collapsed="false">
      <c r="G235" s="9"/>
    </row>
    <row r="236" customFormat="false" ht="15.75" hidden="false" customHeight="true" outlineLevel="0" collapsed="false">
      <c r="G236" s="9"/>
    </row>
    <row r="237" customFormat="false" ht="15.75" hidden="false" customHeight="true" outlineLevel="0" collapsed="false">
      <c r="G237" s="9"/>
    </row>
    <row r="238" customFormat="false" ht="15.75" hidden="false" customHeight="true" outlineLevel="0" collapsed="false">
      <c r="G238" s="9"/>
    </row>
    <row r="239" customFormat="false" ht="15.75" hidden="false" customHeight="true" outlineLevel="0" collapsed="false">
      <c r="G239" s="9"/>
    </row>
    <row r="240" customFormat="false" ht="15.75" hidden="false" customHeight="true" outlineLevel="0" collapsed="false">
      <c r="G240" s="9"/>
    </row>
    <row r="241" customFormat="false" ht="15.75" hidden="false" customHeight="true" outlineLevel="0" collapsed="false">
      <c r="G241" s="9"/>
    </row>
    <row r="242" customFormat="false" ht="15.75" hidden="false" customHeight="true" outlineLevel="0" collapsed="false">
      <c r="G242" s="9"/>
    </row>
    <row r="243" customFormat="false" ht="15.75" hidden="false" customHeight="true" outlineLevel="0" collapsed="false">
      <c r="G243" s="9"/>
    </row>
    <row r="244" customFormat="false" ht="15.75" hidden="false" customHeight="true" outlineLevel="0" collapsed="false">
      <c r="G244" s="9"/>
    </row>
    <row r="245" customFormat="false" ht="15.75" hidden="false" customHeight="true" outlineLevel="0" collapsed="false">
      <c r="G245" s="9"/>
    </row>
    <row r="246" customFormat="false" ht="15.75" hidden="false" customHeight="true" outlineLevel="0" collapsed="false">
      <c r="G246" s="9"/>
    </row>
    <row r="247" customFormat="false" ht="15.75" hidden="false" customHeight="true" outlineLevel="0" collapsed="false">
      <c r="G247" s="9"/>
    </row>
    <row r="248" customFormat="false" ht="15.75" hidden="false" customHeight="true" outlineLevel="0" collapsed="false">
      <c r="G248" s="9"/>
    </row>
    <row r="249" customFormat="false" ht="15.75" hidden="false" customHeight="true" outlineLevel="0" collapsed="false">
      <c r="G249" s="9"/>
    </row>
    <row r="250" customFormat="false" ht="15.75" hidden="false" customHeight="true" outlineLevel="0" collapsed="false">
      <c r="G250" s="9"/>
    </row>
    <row r="251" customFormat="false" ht="15.75" hidden="false" customHeight="true" outlineLevel="0" collapsed="false">
      <c r="G251" s="9"/>
    </row>
    <row r="252" customFormat="false" ht="15.75" hidden="false" customHeight="true" outlineLevel="0" collapsed="false">
      <c r="G252" s="9"/>
    </row>
    <row r="253" customFormat="false" ht="15.75" hidden="false" customHeight="true" outlineLevel="0" collapsed="false">
      <c r="G253" s="9"/>
    </row>
    <row r="254" customFormat="false" ht="15.75" hidden="false" customHeight="true" outlineLevel="0" collapsed="false">
      <c r="G254" s="9"/>
    </row>
    <row r="255" customFormat="false" ht="15.75" hidden="false" customHeight="true" outlineLevel="0" collapsed="false">
      <c r="G255" s="9"/>
    </row>
    <row r="256" customFormat="false" ht="15.75" hidden="false" customHeight="true" outlineLevel="0" collapsed="false">
      <c r="G256" s="9"/>
    </row>
    <row r="257" customFormat="false" ht="15.75" hidden="false" customHeight="true" outlineLevel="0" collapsed="false">
      <c r="G257" s="9"/>
    </row>
    <row r="258" customFormat="false" ht="15.75" hidden="false" customHeight="true" outlineLevel="0" collapsed="false">
      <c r="G258" s="9"/>
    </row>
    <row r="259" customFormat="false" ht="15.75" hidden="false" customHeight="true" outlineLevel="0" collapsed="false">
      <c r="G259" s="9"/>
    </row>
    <row r="260" customFormat="false" ht="15.75" hidden="false" customHeight="true" outlineLevel="0" collapsed="false">
      <c r="G260" s="9"/>
    </row>
    <row r="261" customFormat="false" ht="15.75" hidden="false" customHeight="true" outlineLevel="0" collapsed="false">
      <c r="G261" s="9"/>
    </row>
    <row r="262" customFormat="false" ht="15.75" hidden="false" customHeight="true" outlineLevel="0" collapsed="false">
      <c r="G262" s="9"/>
    </row>
    <row r="263" customFormat="false" ht="15.75" hidden="false" customHeight="true" outlineLevel="0" collapsed="false">
      <c r="G263" s="9"/>
    </row>
    <row r="264" customFormat="false" ht="15.75" hidden="false" customHeight="true" outlineLevel="0" collapsed="false">
      <c r="G264" s="9"/>
    </row>
    <row r="265" customFormat="false" ht="15.75" hidden="false" customHeight="true" outlineLevel="0" collapsed="false">
      <c r="G265" s="9"/>
    </row>
    <row r="266" customFormat="false" ht="15.75" hidden="false" customHeight="true" outlineLevel="0" collapsed="false">
      <c r="G266" s="9"/>
    </row>
    <row r="267" customFormat="false" ht="15.75" hidden="false" customHeight="true" outlineLevel="0" collapsed="false">
      <c r="G267" s="9"/>
    </row>
    <row r="268" customFormat="false" ht="15.75" hidden="false" customHeight="true" outlineLevel="0" collapsed="false">
      <c r="G268" s="9"/>
    </row>
    <row r="269" customFormat="false" ht="15.75" hidden="false" customHeight="true" outlineLevel="0" collapsed="false">
      <c r="G269" s="9"/>
    </row>
    <row r="270" customFormat="false" ht="15.75" hidden="false" customHeight="true" outlineLevel="0" collapsed="false">
      <c r="G270" s="9"/>
    </row>
    <row r="271" customFormat="false" ht="15.75" hidden="false" customHeight="true" outlineLevel="0" collapsed="false">
      <c r="G271" s="9"/>
    </row>
    <row r="272" customFormat="false" ht="15.75" hidden="false" customHeight="true" outlineLevel="0" collapsed="false">
      <c r="G272" s="9"/>
    </row>
    <row r="273" customFormat="false" ht="15.75" hidden="false" customHeight="true" outlineLevel="0" collapsed="false">
      <c r="G273" s="9"/>
    </row>
    <row r="274" customFormat="false" ht="15.75" hidden="false" customHeight="true" outlineLevel="0" collapsed="false">
      <c r="G274" s="9"/>
    </row>
    <row r="275" customFormat="false" ht="15.75" hidden="false" customHeight="true" outlineLevel="0" collapsed="false">
      <c r="G275" s="9"/>
    </row>
    <row r="276" customFormat="false" ht="15.75" hidden="false" customHeight="true" outlineLevel="0" collapsed="false">
      <c r="G276" s="9"/>
    </row>
    <row r="277" customFormat="false" ht="15.75" hidden="false" customHeight="true" outlineLevel="0" collapsed="false">
      <c r="G277" s="9"/>
    </row>
    <row r="278" customFormat="false" ht="15.75" hidden="false" customHeight="true" outlineLevel="0" collapsed="false">
      <c r="G278" s="9"/>
    </row>
    <row r="279" customFormat="false" ht="15.75" hidden="false" customHeight="true" outlineLevel="0" collapsed="false">
      <c r="G279" s="9"/>
    </row>
    <row r="280" customFormat="false" ht="15.75" hidden="false" customHeight="true" outlineLevel="0" collapsed="false">
      <c r="G280" s="9"/>
    </row>
    <row r="281" customFormat="false" ht="15.75" hidden="false" customHeight="true" outlineLevel="0" collapsed="false">
      <c r="G281" s="9"/>
    </row>
    <row r="282" customFormat="false" ht="15.75" hidden="false" customHeight="true" outlineLevel="0" collapsed="false">
      <c r="G282" s="9"/>
    </row>
    <row r="283" customFormat="false" ht="15.75" hidden="false" customHeight="true" outlineLevel="0" collapsed="false">
      <c r="G283" s="9"/>
    </row>
    <row r="284" customFormat="false" ht="15.75" hidden="false" customHeight="true" outlineLevel="0" collapsed="false">
      <c r="G284" s="9"/>
    </row>
    <row r="285" customFormat="false" ht="15.75" hidden="false" customHeight="true" outlineLevel="0" collapsed="false">
      <c r="G285" s="9"/>
    </row>
    <row r="286" customFormat="false" ht="15.75" hidden="false" customHeight="true" outlineLevel="0" collapsed="false">
      <c r="G286" s="9"/>
    </row>
    <row r="287" customFormat="false" ht="15.75" hidden="false" customHeight="true" outlineLevel="0" collapsed="false">
      <c r="G287" s="9"/>
    </row>
    <row r="288" customFormat="false" ht="15.75" hidden="false" customHeight="true" outlineLevel="0" collapsed="false">
      <c r="G288" s="9"/>
    </row>
    <row r="289" customFormat="false" ht="15.75" hidden="false" customHeight="true" outlineLevel="0" collapsed="false">
      <c r="G289" s="9"/>
    </row>
    <row r="290" customFormat="false" ht="15.75" hidden="false" customHeight="true" outlineLevel="0" collapsed="false">
      <c r="G290" s="9"/>
    </row>
    <row r="291" customFormat="false" ht="15.75" hidden="false" customHeight="true" outlineLevel="0" collapsed="false">
      <c r="G291" s="9"/>
    </row>
    <row r="292" customFormat="false" ht="15.75" hidden="false" customHeight="true" outlineLevel="0" collapsed="false">
      <c r="G292" s="9"/>
    </row>
    <row r="293" customFormat="false" ht="15.75" hidden="false" customHeight="true" outlineLevel="0" collapsed="false">
      <c r="G293" s="9"/>
    </row>
    <row r="294" customFormat="false" ht="15.75" hidden="false" customHeight="true" outlineLevel="0" collapsed="false">
      <c r="G294" s="9"/>
    </row>
    <row r="295" customFormat="false" ht="15.75" hidden="false" customHeight="true" outlineLevel="0" collapsed="false">
      <c r="G295" s="9"/>
    </row>
    <row r="296" customFormat="false" ht="15.75" hidden="false" customHeight="true" outlineLevel="0" collapsed="false">
      <c r="G296" s="9"/>
    </row>
    <row r="297" customFormat="false" ht="15.75" hidden="false" customHeight="true" outlineLevel="0" collapsed="false">
      <c r="G297" s="9"/>
    </row>
    <row r="298" customFormat="false" ht="15.75" hidden="false" customHeight="true" outlineLevel="0" collapsed="false">
      <c r="G298" s="9"/>
    </row>
    <row r="299" customFormat="false" ht="15.75" hidden="false" customHeight="true" outlineLevel="0" collapsed="false">
      <c r="G299" s="9"/>
    </row>
    <row r="300" customFormat="false" ht="15.75" hidden="false" customHeight="true" outlineLevel="0" collapsed="false">
      <c r="G300" s="9"/>
    </row>
    <row r="301" customFormat="false" ht="15.75" hidden="false" customHeight="true" outlineLevel="0" collapsed="false">
      <c r="G301" s="9"/>
    </row>
    <row r="302" customFormat="false" ht="15.75" hidden="false" customHeight="true" outlineLevel="0" collapsed="false">
      <c r="G302" s="9"/>
    </row>
    <row r="303" customFormat="false" ht="15.75" hidden="false" customHeight="true" outlineLevel="0" collapsed="false">
      <c r="G303" s="9"/>
    </row>
    <row r="304" customFormat="false" ht="15.75" hidden="false" customHeight="true" outlineLevel="0" collapsed="false">
      <c r="G304" s="9"/>
    </row>
    <row r="305" customFormat="false" ht="15.75" hidden="false" customHeight="true" outlineLevel="0" collapsed="false">
      <c r="G305" s="9"/>
    </row>
    <row r="306" customFormat="false" ht="15.75" hidden="false" customHeight="true" outlineLevel="0" collapsed="false">
      <c r="G306" s="9"/>
    </row>
    <row r="307" customFormat="false" ht="15.75" hidden="false" customHeight="true" outlineLevel="0" collapsed="false">
      <c r="G307" s="9"/>
    </row>
    <row r="308" customFormat="false" ht="15.75" hidden="false" customHeight="true" outlineLevel="0" collapsed="false">
      <c r="G308" s="9"/>
    </row>
    <row r="309" customFormat="false" ht="15.75" hidden="false" customHeight="true" outlineLevel="0" collapsed="false">
      <c r="G309" s="9"/>
    </row>
    <row r="310" customFormat="false" ht="15.75" hidden="false" customHeight="true" outlineLevel="0" collapsed="false">
      <c r="G310" s="9"/>
    </row>
    <row r="311" customFormat="false" ht="15.75" hidden="false" customHeight="true" outlineLevel="0" collapsed="false">
      <c r="G311" s="9"/>
    </row>
    <row r="312" customFormat="false" ht="15.75" hidden="false" customHeight="true" outlineLevel="0" collapsed="false">
      <c r="G312" s="9"/>
    </row>
    <row r="313" customFormat="false" ht="15.75" hidden="false" customHeight="true" outlineLevel="0" collapsed="false">
      <c r="G313" s="9"/>
    </row>
    <row r="314" customFormat="false" ht="15.75" hidden="false" customHeight="true" outlineLevel="0" collapsed="false">
      <c r="G314" s="9"/>
    </row>
    <row r="315" customFormat="false" ht="15.75" hidden="false" customHeight="true" outlineLevel="0" collapsed="false">
      <c r="G315" s="9"/>
    </row>
    <row r="316" customFormat="false" ht="15.75" hidden="false" customHeight="true" outlineLevel="0" collapsed="false">
      <c r="G316" s="9"/>
    </row>
    <row r="317" customFormat="false" ht="15.75" hidden="false" customHeight="true" outlineLevel="0" collapsed="false">
      <c r="G317" s="9"/>
    </row>
    <row r="318" customFormat="false" ht="15.75" hidden="false" customHeight="true" outlineLevel="0" collapsed="false">
      <c r="G318" s="9"/>
    </row>
    <row r="319" customFormat="false" ht="15.75" hidden="false" customHeight="true" outlineLevel="0" collapsed="false">
      <c r="G319" s="9"/>
    </row>
    <row r="320" customFormat="false" ht="15.75" hidden="false" customHeight="true" outlineLevel="0" collapsed="false">
      <c r="G320" s="9"/>
    </row>
    <row r="321" customFormat="false" ht="15.75" hidden="false" customHeight="true" outlineLevel="0" collapsed="false">
      <c r="G321" s="9"/>
    </row>
    <row r="322" customFormat="false" ht="15.75" hidden="false" customHeight="true" outlineLevel="0" collapsed="false">
      <c r="G322" s="9"/>
    </row>
    <row r="323" customFormat="false" ht="15.75" hidden="false" customHeight="true" outlineLevel="0" collapsed="false">
      <c r="G323" s="9"/>
    </row>
    <row r="324" customFormat="false" ht="15.75" hidden="false" customHeight="true" outlineLevel="0" collapsed="false">
      <c r="G324" s="9"/>
    </row>
    <row r="325" customFormat="false" ht="15.75" hidden="false" customHeight="true" outlineLevel="0" collapsed="false">
      <c r="G325" s="9"/>
    </row>
    <row r="326" customFormat="false" ht="15.75" hidden="false" customHeight="true" outlineLevel="0" collapsed="false">
      <c r="G326" s="9"/>
    </row>
    <row r="327" customFormat="false" ht="15.75" hidden="false" customHeight="true" outlineLevel="0" collapsed="false">
      <c r="G327" s="9"/>
    </row>
    <row r="328" customFormat="false" ht="15.75" hidden="false" customHeight="true" outlineLevel="0" collapsed="false">
      <c r="G328" s="9"/>
    </row>
    <row r="329" customFormat="false" ht="15.75" hidden="false" customHeight="true" outlineLevel="0" collapsed="false">
      <c r="G329" s="9"/>
    </row>
    <row r="330" customFormat="false" ht="15.75" hidden="false" customHeight="true" outlineLevel="0" collapsed="false">
      <c r="G330" s="9"/>
    </row>
    <row r="331" customFormat="false" ht="15.75" hidden="false" customHeight="true" outlineLevel="0" collapsed="false">
      <c r="G331" s="9"/>
    </row>
    <row r="332" customFormat="false" ht="15.75" hidden="false" customHeight="true" outlineLevel="0" collapsed="false">
      <c r="G332" s="9"/>
    </row>
    <row r="333" customFormat="false" ht="15.75" hidden="false" customHeight="true" outlineLevel="0" collapsed="false">
      <c r="G333" s="9"/>
    </row>
    <row r="334" customFormat="false" ht="15.75" hidden="false" customHeight="true" outlineLevel="0" collapsed="false">
      <c r="G334" s="9"/>
    </row>
    <row r="335" customFormat="false" ht="15.75" hidden="false" customHeight="true" outlineLevel="0" collapsed="false">
      <c r="G335" s="9"/>
    </row>
    <row r="336" customFormat="false" ht="15.75" hidden="false" customHeight="true" outlineLevel="0" collapsed="false">
      <c r="G336" s="9"/>
    </row>
    <row r="337" customFormat="false" ht="15.75" hidden="false" customHeight="true" outlineLevel="0" collapsed="false">
      <c r="G337" s="9"/>
    </row>
    <row r="338" customFormat="false" ht="15.75" hidden="false" customHeight="true" outlineLevel="0" collapsed="false">
      <c r="G338" s="9"/>
    </row>
    <row r="339" customFormat="false" ht="15.75" hidden="false" customHeight="true" outlineLevel="0" collapsed="false">
      <c r="G339" s="9"/>
    </row>
    <row r="340" customFormat="false" ht="15.75" hidden="false" customHeight="true" outlineLevel="0" collapsed="false">
      <c r="G340" s="9"/>
    </row>
    <row r="341" customFormat="false" ht="15.75" hidden="false" customHeight="true" outlineLevel="0" collapsed="false">
      <c r="G341" s="9"/>
    </row>
    <row r="342" customFormat="false" ht="15.75" hidden="false" customHeight="true" outlineLevel="0" collapsed="false">
      <c r="G342" s="9"/>
    </row>
    <row r="343" customFormat="false" ht="15.75" hidden="false" customHeight="true" outlineLevel="0" collapsed="false">
      <c r="G343" s="9"/>
    </row>
    <row r="344" customFormat="false" ht="15.75" hidden="false" customHeight="true" outlineLevel="0" collapsed="false">
      <c r="G344" s="9"/>
    </row>
    <row r="345" customFormat="false" ht="15.75" hidden="false" customHeight="true" outlineLevel="0" collapsed="false">
      <c r="G345" s="9"/>
    </row>
    <row r="346" customFormat="false" ht="15.75" hidden="false" customHeight="true" outlineLevel="0" collapsed="false">
      <c r="G346" s="9"/>
    </row>
    <row r="347" customFormat="false" ht="15.75" hidden="false" customHeight="true" outlineLevel="0" collapsed="false">
      <c r="G347" s="9"/>
    </row>
    <row r="348" customFormat="false" ht="15.75" hidden="false" customHeight="true" outlineLevel="0" collapsed="false">
      <c r="G348" s="9"/>
    </row>
    <row r="349" customFormat="false" ht="15.75" hidden="false" customHeight="true" outlineLevel="0" collapsed="false">
      <c r="G349" s="9"/>
    </row>
    <row r="350" customFormat="false" ht="15.75" hidden="false" customHeight="true" outlineLevel="0" collapsed="false">
      <c r="G350" s="9"/>
    </row>
    <row r="351" customFormat="false" ht="15.75" hidden="false" customHeight="true" outlineLevel="0" collapsed="false">
      <c r="G351" s="9"/>
    </row>
    <row r="352" customFormat="false" ht="15.75" hidden="false" customHeight="true" outlineLevel="0" collapsed="false">
      <c r="G352" s="9"/>
    </row>
    <row r="353" customFormat="false" ht="15.75" hidden="false" customHeight="true" outlineLevel="0" collapsed="false">
      <c r="G353" s="9"/>
    </row>
    <row r="354" customFormat="false" ht="15.75" hidden="false" customHeight="true" outlineLevel="0" collapsed="false">
      <c r="G354" s="9"/>
    </row>
    <row r="355" customFormat="false" ht="15.75" hidden="false" customHeight="true" outlineLevel="0" collapsed="false">
      <c r="G355" s="9"/>
    </row>
    <row r="356" customFormat="false" ht="15.75" hidden="false" customHeight="true" outlineLevel="0" collapsed="false">
      <c r="G356" s="9"/>
    </row>
    <row r="357" customFormat="false" ht="15.75" hidden="false" customHeight="true" outlineLevel="0" collapsed="false">
      <c r="G357" s="9"/>
    </row>
    <row r="358" customFormat="false" ht="15.75" hidden="false" customHeight="true" outlineLevel="0" collapsed="false">
      <c r="G358" s="9"/>
    </row>
    <row r="359" customFormat="false" ht="15.75" hidden="false" customHeight="true" outlineLevel="0" collapsed="false">
      <c r="G359" s="9"/>
    </row>
    <row r="360" customFormat="false" ht="15.75" hidden="false" customHeight="true" outlineLevel="0" collapsed="false">
      <c r="G360" s="9"/>
    </row>
    <row r="361" customFormat="false" ht="15.75" hidden="false" customHeight="true" outlineLevel="0" collapsed="false">
      <c r="G361" s="9"/>
    </row>
    <row r="362" customFormat="false" ht="15.75" hidden="false" customHeight="true" outlineLevel="0" collapsed="false">
      <c r="G362" s="9"/>
    </row>
    <row r="363" customFormat="false" ht="15.75" hidden="false" customHeight="true" outlineLevel="0" collapsed="false">
      <c r="G363" s="9"/>
    </row>
    <row r="364" customFormat="false" ht="15.75" hidden="false" customHeight="true" outlineLevel="0" collapsed="false">
      <c r="G364" s="9"/>
    </row>
    <row r="365" customFormat="false" ht="15.75" hidden="false" customHeight="true" outlineLevel="0" collapsed="false">
      <c r="G365" s="9"/>
    </row>
    <row r="366" customFormat="false" ht="15.75" hidden="false" customHeight="true" outlineLevel="0" collapsed="false">
      <c r="G366" s="9"/>
    </row>
    <row r="367" customFormat="false" ht="15.75" hidden="false" customHeight="true" outlineLevel="0" collapsed="false">
      <c r="G367" s="9"/>
    </row>
    <row r="368" customFormat="false" ht="15.75" hidden="false" customHeight="true" outlineLevel="0" collapsed="false">
      <c r="G368" s="9"/>
    </row>
    <row r="369" customFormat="false" ht="15.75" hidden="false" customHeight="true" outlineLevel="0" collapsed="false">
      <c r="G369" s="9"/>
    </row>
    <row r="370" customFormat="false" ht="15.75" hidden="false" customHeight="true" outlineLevel="0" collapsed="false">
      <c r="G370" s="9"/>
    </row>
    <row r="371" customFormat="false" ht="15.75" hidden="false" customHeight="true" outlineLevel="0" collapsed="false">
      <c r="G371" s="9"/>
    </row>
    <row r="372" customFormat="false" ht="15.75" hidden="false" customHeight="true" outlineLevel="0" collapsed="false">
      <c r="G372" s="9"/>
    </row>
    <row r="373" customFormat="false" ht="15.75" hidden="false" customHeight="true" outlineLevel="0" collapsed="false">
      <c r="G373" s="9"/>
    </row>
    <row r="374" customFormat="false" ht="15.75" hidden="false" customHeight="true" outlineLevel="0" collapsed="false">
      <c r="G374" s="9"/>
    </row>
    <row r="375" customFormat="false" ht="15.75" hidden="false" customHeight="true" outlineLevel="0" collapsed="false">
      <c r="G375" s="9"/>
    </row>
    <row r="376" customFormat="false" ht="15.75" hidden="false" customHeight="true" outlineLevel="0" collapsed="false">
      <c r="G376" s="9"/>
    </row>
    <row r="377" customFormat="false" ht="15.75" hidden="false" customHeight="true" outlineLevel="0" collapsed="false">
      <c r="G377" s="9"/>
    </row>
    <row r="378" customFormat="false" ht="15.75" hidden="false" customHeight="true" outlineLevel="0" collapsed="false">
      <c r="G378" s="9"/>
    </row>
    <row r="379" customFormat="false" ht="15.75" hidden="false" customHeight="true" outlineLevel="0" collapsed="false">
      <c r="G379" s="9"/>
    </row>
    <row r="380" customFormat="false" ht="15.75" hidden="false" customHeight="true" outlineLevel="0" collapsed="false">
      <c r="G380" s="9"/>
    </row>
    <row r="381" customFormat="false" ht="15.75" hidden="false" customHeight="true" outlineLevel="0" collapsed="false">
      <c r="G381" s="9"/>
    </row>
    <row r="382" customFormat="false" ht="15.75" hidden="false" customHeight="true" outlineLevel="0" collapsed="false">
      <c r="G382" s="9"/>
    </row>
    <row r="383" customFormat="false" ht="15.75" hidden="false" customHeight="true" outlineLevel="0" collapsed="false">
      <c r="G383" s="9"/>
    </row>
    <row r="384" customFormat="false" ht="15.75" hidden="false" customHeight="true" outlineLevel="0" collapsed="false">
      <c r="G384" s="9"/>
    </row>
    <row r="385" customFormat="false" ht="15.75" hidden="false" customHeight="true" outlineLevel="0" collapsed="false">
      <c r="G385" s="9"/>
    </row>
    <row r="386" customFormat="false" ht="15.75" hidden="false" customHeight="true" outlineLevel="0" collapsed="false">
      <c r="G386" s="9"/>
    </row>
    <row r="387" customFormat="false" ht="15.75" hidden="false" customHeight="true" outlineLevel="0" collapsed="false">
      <c r="G387" s="9"/>
    </row>
    <row r="388" customFormat="false" ht="15.75" hidden="false" customHeight="true" outlineLevel="0" collapsed="false">
      <c r="G388" s="9"/>
    </row>
    <row r="389" customFormat="false" ht="15.75" hidden="false" customHeight="true" outlineLevel="0" collapsed="false">
      <c r="G389" s="9"/>
    </row>
    <row r="390" customFormat="false" ht="15.75" hidden="false" customHeight="true" outlineLevel="0" collapsed="false">
      <c r="G390" s="9"/>
    </row>
    <row r="391" customFormat="false" ht="15.75" hidden="false" customHeight="true" outlineLevel="0" collapsed="false">
      <c r="G391" s="9"/>
    </row>
    <row r="392" customFormat="false" ht="15.75" hidden="false" customHeight="true" outlineLevel="0" collapsed="false">
      <c r="G392" s="9"/>
    </row>
    <row r="393" customFormat="false" ht="15.75" hidden="false" customHeight="true" outlineLevel="0" collapsed="false">
      <c r="G393" s="9"/>
    </row>
    <row r="394" customFormat="false" ht="15.75" hidden="false" customHeight="true" outlineLevel="0" collapsed="false">
      <c r="G394" s="9"/>
    </row>
    <row r="395" customFormat="false" ht="15.75" hidden="false" customHeight="true" outlineLevel="0" collapsed="false">
      <c r="G395" s="9"/>
    </row>
    <row r="396" customFormat="false" ht="15.75" hidden="false" customHeight="true" outlineLevel="0" collapsed="false">
      <c r="G396" s="9"/>
    </row>
    <row r="397" customFormat="false" ht="15.75" hidden="false" customHeight="true" outlineLevel="0" collapsed="false">
      <c r="G397" s="9"/>
    </row>
    <row r="398" customFormat="false" ht="15.75" hidden="false" customHeight="true" outlineLevel="0" collapsed="false">
      <c r="G398" s="9"/>
    </row>
    <row r="399" customFormat="false" ht="15.75" hidden="false" customHeight="true" outlineLevel="0" collapsed="false">
      <c r="G399" s="9"/>
    </row>
    <row r="400" customFormat="false" ht="15.75" hidden="false" customHeight="true" outlineLevel="0" collapsed="false">
      <c r="G400" s="9"/>
    </row>
    <row r="401" customFormat="false" ht="15.75" hidden="false" customHeight="true" outlineLevel="0" collapsed="false">
      <c r="G401" s="9"/>
    </row>
    <row r="402" customFormat="false" ht="15.75" hidden="false" customHeight="true" outlineLevel="0" collapsed="false">
      <c r="G402" s="9"/>
    </row>
    <row r="403" customFormat="false" ht="15.75" hidden="false" customHeight="true" outlineLevel="0" collapsed="false">
      <c r="G403" s="9"/>
    </row>
    <row r="404" customFormat="false" ht="15.75" hidden="false" customHeight="true" outlineLevel="0" collapsed="false">
      <c r="G404" s="9"/>
    </row>
    <row r="405" customFormat="false" ht="15.75" hidden="false" customHeight="true" outlineLevel="0" collapsed="false">
      <c r="G405" s="9"/>
    </row>
    <row r="406" customFormat="false" ht="15.75" hidden="false" customHeight="true" outlineLevel="0" collapsed="false">
      <c r="G406" s="9"/>
    </row>
    <row r="407" customFormat="false" ht="15.75" hidden="false" customHeight="true" outlineLevel="0" collapsed="false">
      <c r="G407" s="9"/>
    </row>
    <row r="408" customFormat="false" ht="15.75" hidden="false" customHeight="true" outlineLevel="0" collapsed="false">
      <c r="G408" s="9"/>
    </row>
    <row r="409" customFormat="false" ht="15.75" hidden="false" customHeight="true" outlineLevel="0" collapsed="false">
      <c r="G409" s="9"/>
    </row>
    <row r="410" customFormat="false" ht="15.75" hidden="false" customHeight="true" outlineLevel="0" collapsed="false">
      <c r="G410" s="9"/>
    </row>
    <row r="411" customFormat="false" ht="15.75" hidden="false" customHeight="true" outlineLevel="0" collapsed="false">
      <c r="G411" s="9"/>
    </row>
    <row r="412" customFormat="false" ht="15.75" hidden="false" customHeight="true" outlineLevel="0" collapsed="false">
      <c r="G412" s="9"/>
    </row>
    <row r="413" customFormat="false" ht="15.75" hidden="false" customHeight="true" outlineLevel="0" collapsed="false">
      <c r="G413" s="9"/>
    </row>
    <row r="414" customFormat="false" ht="15.75" hidden="false" customHeight="true" outlineLevel="0" collapsed="false">
      <c r="G414" s="9"/>
    </row>
    <row r="415" customFormat="false" ht="15.75" hidden="false" customHeight="true" outlineLevel="0" collapsed="false">
      <c r="G415" s="9"/>
    </row>
    <row r="416" customFormat="false" ht="15.75" hidden="false" customHeight="true" outlineLevel="0" collapsed="false">
      <c r="G416" s="9"/>
    </row>
    <row r="417" customFormat="false" ht="15.75" hidden="false" customHeight="true" outlineLevel="0" collapsed="false">
      <c r="G417" s="9"/>
    </row>
    <row r="418" customFormat="false" ht="15.75" hidden="false" customHeight="true" outlineLevel="0" collapsed="false">
      <c r="G418" s="9"/>
    </row>
    <row r="419" customFormat="false" ht="15.75" hidden="false" customHeight="true" outlineLevel="0" collapsed="false">
      <c r="G419" s="9"/>
    </row>
    <row r="420" customFormat="false" ht="15.75" hidden="false" customHeight="true" outlineLevel="0" collapsed="false">
      <c r="G420" s="9"/>
    </row>
    <row r="421" customFormat="false" ht="15.75" hidden="false" customHeight="true" outlineLevel="0" collapsed="false">
      <c r="G421" s="9"/>
    </row>
    <row r="422" customFormat="false" ht="15.75" hidden="false" customHeight="true" outlineLevel="0" collapsed="false">
      <c r="G422" s="9"/>
    </row>
    <row r="423" customFormat="false" ht="15.75" hidden="false" customHeight="true" outlineLevel="0" collapsed="false">
      <c r="G423" s="9"/>
    </row>
    <row r="424" customFormat="false" ht="15.75" hidden="false" customHeight="true" outlineLevel="0" collapsed="false">
      <c r="G424" s="9"/>
    </row>
    <row r="425" customFormat="false" ht="15.75" hidden="false" customHeight="true" outlineLevel="0" collapsed="false">
      <c r="G425" s="9"/>
    </row>
    <row r="426" customFormat="false" ht="15.75" hidden="false" customHeight="true" outlineLevel="0" collapsed="false">
      <c r="G426" s="9"/>
    </row>
    <row r="427" customFormat="false" ht="15.75" hidden="false" customHeight="true" outlineLevel="0" collapsed="false">
      <c r="G427" s="9"/>
    </row>
    <row r="428" customFormat="false" ht="15.75" hidden="false" customHeight="true" outlineLevel="0" collapsed="false">
      <c r="G428" s="9"/>
    </row>
    <row r="429" customFormat="false" ht="15.75" hidden="false" customHeight="true" outlineLevel="0" collapsed="false">
      <c r="G429" s="9"/>
    </row>
    <row r="430" customFormat="false" ht="15.75" hidden="false" customHeight="true" outlineLevel="0" collapsed="false">
      <c r="G430" s="9"/>
    </row>
    <row r="431" customFormat="false" ht="15.75" hidden="false" customHeight="true" outlineLevel="0" collapsed="false">
      <c r="G431" s="9"/>
    </row>
    <row r="432" customFormat="false" ht="15.75" hidden="false" customHeight="true" outlineLevel="0" collapsed="false">
      <c r="G432" s="9"/>
    </row>
    <row r="433" customFormat="false" ht="15.75" hidden="false" customHeight="true" outlineLevel="0" collapsed="false">
      <c r="G433" s="9"/>
    </row>
    <row r="434" customFormat="false" ht="15.75" hidden="false" customHeight="true" outlineLevel="0" collapsed="false">
      <c r="G434" s="9"/>
    </row>
    <row r="435" customFormat="false" ht="15.75" hidden="false" customHeight="true" outlineLevel="0" collapsed="false">
      <c r="G435" s="9"/>
    </row>
    <row r="436" customFormat="false" ht="15.75" hidden="false" customHeight="true" outlineLevel="0" collapsed="false">
      <c r="G436" s="9"/>
    </row>
    <row r="437" customFormat="false" ht="15.75" hidden="false" customHeight="true" outlineLevel="0" collapsed="false">
      <c r="G437" s="9"/>
    </row>
    <row r="438" customFormat="false" ht="15.75" hidden="false" customHeight="true" outlineLevel="0" collapsed="false">
      <c r="G438" s="9"/>
    </row>
    <row r="439" customFormat="false" ht="15.75" hidden="false" customHeight="true" outlineLevel="0" collapsed="false">
      <c r="G439" s="9"/>
    </row>
    <row r="440" customFormat="false" ht="15.75" hidden="false" customHeight="true" outlineLevel="0" collapsed="false">
      <c r="G440" s="9"/>
    </row>
    <row r="441" customFormat="false" ht="15.75" hidden="false" customHeight="true" outlineLevel="0" collapsed="false">
      <c r="G441" s="9"/>
    </row>
    <row r="442" customFormat="false" ht="15.75" hidden="false" customHeight="true" outlineLevel="0" collapsed="false">
      <c r="G442" s="9"/>
    </row>
    <row r="443" customFormat="false" ht="15.75" hidden="false" customHeight="true" outlineLevel="0" collapsed="false">
      <c r="G443" s="9"/>
    </row>
    <row r="444" customFormat="false" ht="15.75" hidden="false" customHeight="true" outlineLevel="0" collapsed="false">
      <c r="G444" s="9"/>
    </row>
    <row r="445" customFormat="false" ht="15.75" hidden="false" customHeight="true" outlineLevel="0" collapsed="false">
      <c r="G445" s="9"/>
    </row>
    <row r="446" customFormat="false" ht="15.75" hidden="false" customHeight="true" outlineLevel="0" collapsed="false">
      <c r="G446" s="9"/>
    </row>
    <row r="447" customFormat="false" ht="15.75" hidden="false" customHeight="true" outlineLevel="0" collapsed="false">
      <c r="G447" s="9"/>
    </row>
    <row r="448" customFormat="false" ht="15.75" hidden="false" customHeight="true" outlineLevel="0" collapsed="false">
      <c r="G448" s="9"/>
    </row>
    <row r="449" customFormat="false" ht="15.75" hidden="false" customHeight="true" outlineLevel="0" collapsed="false">
      <c r="G449" s="9"/>
    </row>
    <row r="450" customFormat="false" ht="15.75" hidden="false" customHeight="true" outlineLevel="0" collapsed="false">
      <c r="G450" s="9"/>
    </row>
    <row r="451" customFormat="false" ht="15.75" hidden="false" customHeight="true" outlineLevel="0" collapsed="false">
      <c r="G451" s="9"/>
    </row>
    <row r="452" customFormat="false" ht="15.75" hidden="false" customHeight="true" outlineLevel="0" collapsed="false">
      <c r="G452" s="9"/>
    </row>
    <row r="453" customFormat="false" ht="15.75" hidden="false" customHeight="true" outlineLevel="0" collapsed="false">
      <c r="G453" s="9"/>
    </row>
    <row r="454" customFormat="false" ht="15.75" hidden="false" customHeight="true" outlineLevel="0" collapsed="false">
      <c r="G454" s="9"/>
    </row>
    <row r="455" customFormat="false" ht="15.75" hidden="false" customHeight="true" outlineLevel="0" collapsed="false">
      <c r="G455" s="9"/>
    </row>
    <row r="456" customFormat="false" ht="15.75" hidden="false" customHeight="true" outlineLevel="0" collapsed="false">
      <c r="G456" s="9"/>
    </row>
    <row r="457" customFormat="false" ht="15.75" hidden="false" customHeight="true" outlineLevel="0" collapsed="false">
      <c r="G457" s="9"/>
    </row>
    <row r="458" customFormat="false" ht="15.75" hidden="false" customHeight="true" outlineLevel="0" collapsed="false">
      <c r="G458" s="9"/>
    </row>
    <row r="459" customFormat="false" ht="15.75" hidden="false" customHeight="true" outlineLevel="0" collapsed="false">
      <c r="G459" s="9"/>
    </row>
    <row r="460" customFormat="false" ht="15.75" hidden="false" customHeight="true" outlineLevel="0" collapsed="false">
      <c r="G460" s="9"/>
    </row>
    <row r="461" customFormat="false" ht="15.75" hidden="false" customHeight="true" outlineLevel="0" collapsed="false">
      <c r="G461" s="9"/>
    </row>
    <row r="462" customFormat="false" ht="15.75" hidden="false" customHeight="true" outlineLevel="0" collapsed="false">
      <c r="G462" s="9"/>
    </row>
    <row r="463" customFormat="false" ht="15.75" hidden="false" customHeight="true" outlineLevel="0" collapsed="false">
      <c r="G463" s="9"/>
    </row>
    <row r="464" customFormat="false" ht="15.75" hidden="false" customHeight="true" outlineLevel="0" collapsed="false">
      <c r="G464" s="9"/>
    </row>
    <row r="465" customFormat="false" ht="15.75" hidden="false" customHeight="true" outlineLevel="0" collapsed="false">
      <c r="G465" s="9"/>
    </row>
    <row r="466" customFormat="false" ht="15.75" hidden="false" customHeight="true" outlineLevel="0" collapsed="false">
      <c r="G466" s="9"/>
    </row>
    <row r="467" customFormat="false" ht="15.75" hidden="false" customHeight="true" outlineLevel="0" collapsed="false">
      <c r="G467" s="9"/>
    </row>
    <row r="468" customFormat="false" ht="15.75" hidden="false" customHeight="true" outlineLevel="0" collapsed="false">
      <c r="G468" s="9"/>
    </row>
    <row r="469" customFormat="false" ht="15.75" hidden="false" customHeight="true" outlineLevel="0" collapsed="false">
      <c r="G469" s="9"/>
    </row>
    <row r="470" customFormat="false" ht="15.75" hidden="false" customHeight="true" outlineLevel="0" collapsed="false">
      <c r="G470" s="9"/>
    </row>
    <row r="471" customFormat="false" ht="15.75" hidden="false" customHeight="true" outlineLevel="0" collapsed="false">
      <c r="G471" s="9"/>
    </row>
    <row r="472" customFormat="false" ht="15.75" hidden="false" customHeight="true" outlineLevel="0" collapsed="false">
      <c r="G472" s="9"/>
    </row>
    <row r="473" customFormat="false" ht="15.75" hidden="false" customHeight="true" outlineLevel="0" collapsed="false">
      <c r="G473" s="9"/>
    </row>
    <row r="474" customFormat="false" ht="15.75" hidden="false" customHeight="true" outlineLevel="0" collapsed="false">
      <c r="G474" s="9"/>
    </row>
    <row r="475" customFormat="false" ht="15.75" hidden="false" customHeight="true" outlineLevel="0" collapsed="false">
      <c r="G475" s="9"/>
    </row>
    <row r="476" customFormat="false" ht="15.75" hidden="false" customHeight="true" outlineLevel="0" collapsed="false">
      <c r="G476" s="9"/>
    </row>
    <row r="477" customFormat="false" ht="15.75" hidden="false" customHeight="true" outlineLevel="0" collapsed="false">
      <c r="G477" s="9"/>
    </row>
    <row r="478" customFormat="false" ht="15.75" hidden="false" customHeight="true" outlineLevel="0" collapsed="false">
      <c r="G478" s="9"/>
    </row>
    <row r="479" customFormat="false" ht="15.75" hidden="false" customHeight="true" outlineLevel="0" collapsed="false">
      <c r="G479" s="9"/>
    </row>
    <row r="480" customFormat="false" ht="15.75" hidden="false" customHeight="true" outlineLevel="0" collapsed="false">
      <c r="G480" s="9"/>
    </row>
    <row r="481" customFormat="false" ht="15.75" hidden="false" customHeight="true" outlineLevel="0" collapsed="false">
      <c r="G481" s="9"/>
    </row>
    <row r="482" customFormat="false" ht="15.75" hidden="false" customHeight="true" outlineLevel="0" collapsed="false">
      <c r="G482" s="9"/>
    </row>
    <row r="483" customFormat="false" ht="15.75" hidden="false" customHeight="true" outlineLevel="0" collapsed="false">
      <c r="G483" s="9"/>
    </row>
    <row r="484" customFormat="false" ht="15.75" hidden="false" customHeight="true" outlineLevel="0" collapsed="false">
      <c r="G484" s="9"/>
    </row>
    <row r="485" customFormat="false" ht="15.75" hidden="false" customHeight="true" outlineLevel="0" collapsed="false">
      <c r="G485" s="9"/>
    </row>
    <row r="486" customFormat="false" ht="15.75" hidden="false" customHeight="true" outlineLevel="0" collapsed="false">
      <c r="G486" s="9"/>
    </row>
    <row r="487" customFormat="false" ht="15.75" hidden="false" customHeight="true" outlineLevel="0" collapsed="false">
      <c r="G487" s="9"/>
    </row>
    <row r="488" customFormat="false" ht="15.75" hidden="false" customHeight="true" outlineLevel="0" collapsed="false">
      <c r="G488" s="9"/>
    </row>
    <row r="489" customFormat="false" ht="15.75" hidden="false" customHeight="true" outlineLevel="0" collapsed="false">
      <c r="G489" s="9"/>
    </row>
    <row r="490" customFormat="false" ht="15.75" hidden="false" customHeight="true" outlineLevel="0" collapsed="false">
      <c r="G490" s="9"/>
    </row>
    <row r="491" customFormat="false" ht="15.75" hidden="false" customHeight="true" outlineLevel="0" collapsed="false">
      <c r="G491" s="9"/>
    </row>
    <row r="492" customFormat="false" ht="15.75" hidden="false" customHeight="true" outlineLevel="0" collapsed="false">
      <c r="G492" s="9"/>
    </row>
    <row r="493" customFormat="false" ht="15.75" hidden="false" customHeight="true" outlineLevel="0" collapsed="false">
      <c r="G493" s="9"/>
    </row>
    <row r="494" customFormat="false" ht="15.75" hidden="false" customHeight="true" outlineLevel="0" collapsed="false">
      <c r="G494" s="9"/>
    </row>
    <row r="495" customFormat="false" ht="15.75" hidden="false" customHeight="true" outlineLevel="0" collapsed="false">
      <c r="G495" s="9"/>
    </row>
    <row r="496" customFormat="false" ht="15.75" hidden="false" customHeight="true" outlineLevel="0" collapsed="false">
      <c r="G496" s="9"/>
    </row>
    <row r="497" customFormat="false" ht="15.75" hidden="false" customHeight="true" outlineLevel="0" collapsed="false">
      <c r="G497" s="9"/>
    </row>
    <row r="498" customFormat="false" ht="15.75" hidden="false" customHeight="true" outlineLevel="0" collapsed="false">
      <c r="G498" s="9"/>
    </row>
    <row r="499" customFormat="false" ht="15.75" hidden="false" customHeight="true" outlineLevel="0" collapsed="false">
      <c r="G499" s="9"/>
    </row>
    <row r="500" customFormat="false" ht="15.75" hidden="false" customHeight="true" outlineLevel="0" collapsed="false">
      <c r="G500" s="9"/>
    </row>
    <row r="501" customFormat="false" ht="15.75" hidden="false" customHeight="true" outlineLevel="0" collapsed="false">
      <c r="G501" s="9"/>
    </row>
    <row r="502" customFormat="false" ht="15.75" hidden="false" customHeight="true" outlineLevel="0" collapsed="false">
      <c r="G502" s="9"/>
    </row>
    <row r="503" customFormat="false" ht="15.75" hidden="false" customHeight="true" outlineLevel="0" collapsed="false">
      <c r="G503" s="9"/>
    </row>
    <row r="504" customFormat="false" ht="15.75" hidden="false" customHeight="true" outlineLevel="0" collapsed="false">
      <c r="G504" s="9"/>
    </row>
    <row r="505" customFormat="false" ht="15.75" hidden="false" customHeight="true" outlineLevel="0" collapsed="false">
      <c r="G505" s="9"/>
    </row>
    <row r="506" customFormat="false" ht="15.75" hidden="false" customHeight="true" outlineLevel="0" collapsed="false">
      <c r="G506" s="9"/>
    </row>
    <row r="507" customFormat="false" ht="15.75" hidden="false" customHeight="true" outlineLevel="0" collapsed="false">
      <c r="G507" s="9"/>
    </row>
    <row r="508" customFormat="false" ht="15.75" hidden="false" customHeight="true" outlineLevel="0" collapsed="false">
      <c r="G508" s="9"/>
    </row>
    <row r="509" customFormat="false" ht="15.75" hidden="false" customHeight="true" outlineLevel="0" collapsed="false">
      <c r="G509" s="9"/>
    </row>
    <row r="510" customFormat="false" ht="15.75" hidden="false" customHeight="true" outlineLevel="0" collapsed="false">
      <c r="G510" s="9"/>
    </row>
    <row r="511" customFormat="false" ht="15.75" hidden="false" customHeight="true" outlineLevel="0" collapsed="false">
      <c r="G511" s="9"/>
    </row>
    <row r="512" customFormat="false" ht="15.75" hidden="false" customHeight="true" outlineLevel="0" collapsed="false">
      <c r="G512" s="9"/>
    </row>
    <row r="513" customFormat="false" ht="15.75" hidden="false" customHeight="true" outlineLevel="0" collapsed="false">
      <c r="G513" s="9"/>
    </row>
    <row r="514" customFormat="false" ht="15.75" hidden="false" customHeight="true" outlineLevel="0" collapsed="false">
      <c r="G514" s="9"/>
    </row>
    <row r="515" customFormat="false" ht="15.75" hidden="false" customHeight="true" outlineLevel="0" collapsed="false">
      <c r="G515" s="9"/>
    </row>
    <row r="516" customFormat="false" ht="15.75" hidden="false" customHeight="true" outlineLevel="0" collapsed="false">
      <c r="G516" s="9"/>
    </row>
    <row r="517" customFormat="false" ht="15.75" hidden="false" customHeight="true" outlineLevel="0" collapsed="false">
      <c r="G517" s="9"/>
    </row>
    <row r="518" customFormat="false" ht="15.75" hidden="false" customHeight="true" outlineLevel="0" collapsed="false">
      <c r="G518" s="9"/>
    </row>
    <row r="519" customFormat="false" ht="15.75" hidden="false" customHeight="true" outlineLevel="0" collapsed="false">
      <c r="G519" s="9"/>
    </row>
    <row r="520" customFormat="false" ht="15.75" hidden="false" customHeight="true" outlineLevel="0" collapsed="false">
      <c r="G520" s="9"/>
    </row>
    <row r="521" customFormat="false" ht="15.75" hidden="false" customHeight="true" outlineLevel="0" collapsed="false">
      <c r="G521" s="9"/>
    </row>
    <row r="522" customFormat="false" ht="15.75" hidden="false" customHeight="true" outlineLevel="0" collapsed="false">
      <c r="G522" s="9"/>
    </row>
    <row r="523" customFormat="false" ht="15.75" hidden="false" customHeight="true" outlineLevel="0" collapsed="false">
      <c r="G523" s="9"/>
    </row>
    <row r="524" customFormat="false" ht="15.75" hidden="false" customHeight="true" outlineLevel="0" collapsed="false">
      <c r="G524" s="9"/>
    </row>
    <row r="525" customFormat="false" ht="15.75" hidden="false" customHeight="true" outlineLevel="0" collapsed="false">
      <c r="G525" s="9"/>
    </row>
    <row r="526" customFormat="false" ht="15.75" hidden="false" customHeight="true" outlineLevel="0" collapsed="false">
      <c r="G526" s="9"/>
    </row>
    <row r="527" customFormat="false" ht="15.75" hidden="false" customHeight="true" outlineLevel="0" collapsed="false">
      <c r="G527" s="9"/>
    </row>
    <row r="528" customFormat="false" ht="15.75" hidden="false" customHeight="true" outlineLevel="0" collapsed="false">
      <c r="G528" s="9"/>
    </row>
    <row r="529" customFormat="false" ht="15.75" hidden="false" customHeight="true" outlineLevel="0" collapsed="false">
      <c r="G529" s="9"/>
    </row>
    <row r="530" customFormat="false" ht="15.75" hidden="false" customHeight="true" outlineLevel="0" collapsed="false">
      <c r="G530" s="9"/>
    </row>
    <row r="531" customFormat="false" ht="15.75" hidden="false" customHeight="true" outlineLevel="0" collapsed="false">
      <c r="G531" s="9"/>
    </row>
    <row r="532" customFormat="false" ht="15.75" hidden="false" customHeight="true" outlineLevel="0" collapsed="false">
      <c r="G532" s="9"/>
    </row>
    <row r="533" customFormat="false" ht="15.75" hidden="false" customHeight="true" outlineLevel="0" collapsed="false">
      <c r="G533" s="9"/>
    </row>
    <row r="534" customFormat="false" ht="15.75" hidden="false" customHeight="true" outlineLevel="0" collapsed="false">
      <c r="G534" s="9"/>
    </row>
    <row r="535" customFormat="false" ht="15.75" hidden="false" customHeight="true" outlineLevel="0" collapsed="false">
      <c r="G535" s="9"/>
    </row>
    <row r="536" customFormat="false" ht="15.75" hidden="false" customHeight="true" outlineLevel="0" collapsed="false">
      <c r="G536" s="9"/>
    </row>
    <row r="537" customFormat="false" ht="15.75" hidden="false" customHeight="true" outlineLevel="0" collapsed="false">
      <c r="G537" s="9"/>
    </row>
    <row r="538" customFormat="false" ht="15.75" hidden="false" customHeight="true" outlineLevel="0" collapsed="false">
      <c r="G538" s="9"/>
    </row>
    <row r="539" customFormat="false" ht="15.75" hidden="false" customHeight="true" outlineLevel="0" collapsed="false">
      <c r="G539" s="9"/>
    </row>
    <row r="540" customFormat="false" ht="15.75" hidden="false" customHeight="true" outlineLevel="0" collapsed="false">
      <c r="G540" s="9"/>
    </row>
    <row r="541" customFormat="false" ht="15.75" hidden="false" customHeight="true" outlineLevel="0" collapsed="false">
      <c r="G541" s="9"/>
    </row>
    <row r="542" customFormat="false" ht="15.75" hidden="false" customHeight="true" outlineLevel="0" collapsed="false">
      <c r="G542" s="9"/>
    </row>
    <row r="543" customFormat="false" ht="15.75" hidden="false" customHeight="true" outlineLevel="0" collapsed="false">
      <c r="G543" s="9"/>
    </row>
    <row r="544" customFormat="false" ht="15.75" hidden="false" customHeight="true" outlineLevel="0" collapsed="false">
      <c r="G544" s="9"/>
    </row>
    <row r="545" customFormat="false" ht="15.75" hidden="false" customHeight="true" outlineLevel="0" collapsed="false">
      <c r="G545" s="9"/>
    </row>
    <row r="546" customFormat="false" ht="15.75" hidden="false" customHeight="true" outlineLevel="0" collapsed="false">
      <c r="G546" s="9"/>
    </row>
    <row r="547" customFormat="false" ht="15.75" hidden="false" customHeight="true" outlineLevel="0" collapsed="false">
      <c r="G547" s="9"/>
    </row>
    <row r="548" customFormat="false" ht="15.75" hidden="false" customHeight="true" outlineLevel="0" collapsed="false">
      <c r="G548" s="9"/>
    </row>
    <row r="549" customFormat="false" ht="15.75" hidden="false" customHeight="true" outlineLevel="0" collapsed="false">
      <c r="G549" s="9"/>
    </row>
    <row r="550" customFormat="false" ht="15.75" hidden="false" customHeight="true" outlineLevel="0" collapsed="false">
      <c r="G550" s="9"/>
    </row>
    <row r="551" customFormat="false" ht="15.75" hidden="false" customHeight="true" outlineLevel="0" collapsed="false">
      <c r="G551" s="9"/>
    </row>
    <row r="552" customFormat="false" ht="15.75" hidden="false" customHeight="true" outlineLevel="0" collapsed="false">
      <c r="G552" s="9"/>
    </row>
    <row r="553" customFormat="false" ht="15.75" hidden="false" customHeight="true" outlineLevel="0" collapsed="false">
      <c r="G553" s="9"/>
    </row>
    <row r="554" customFormat="false" ht="15.75" hidden="false" customHeight="true" outlineLevel="0" collapsed="false">
      <c r="G554" s="9"/>
    </row>
    <row r="555" customFormat="false" ht="15.75" hidden="false" customHeight="true" outlineLevel="0" collapsed="false">
      <c r="G555" s="9"/>
    </row>
    <row r="556" customFormat="false" ht="15.75" hidden="false" customHeight="true" outlineLevel="0" collapsed="false">
      <c r="G556" s="9"/>
    </row>
    <row r="557" customFormat="false" ht="15.75" hidden="false" customHeight="true" outlineLevel="0" collapsed="false">
      <c r="G557" s="9"/>
    </row>
    <row r="558" customFormat="false" ht="15.75" hidden="false" customHeight="true" outlineLevel="0" collapsed="false">
      <c r="G558" s="9"/>
    </row>
    <row r="559" customFormat="false" ht="15.75" hidden="false" customHeight="true" outlineLevel="0" collapsed="false">
      <c r="G559" s="9"/>
    </row>
    <row r="560" customFormat="false" ht="15.75" hidden="false" customHeight="true" outlineLevel="0" collapsed="false">
      <c r="G560" s="9"/>
    </row>
    <row r="561" customFormat="false" ht="15.75" hidden="false" customHeight="true" outlineLevel="0" collapsed="false">
      <c r="G561" s="9"/>
    </row>
    <row r="562" customFormat="false" ht="15.75" hidden="false" customHeight="true" outlineLevel="0" collapsed="false">
      <c r="G562" s="9"/>
    </row>
    <row r="563" customFormat="false" ht="15.75" hidden="false" customHeight="true" outlineLevel="0" collapsed="false">
      <c r="G563" s="9"/>
    </row>
    <row r="564" customFormat="false" ht="15.75" hidden="false" customHeight="true" outlineLevel="0" collapsed="false">
      <c r="G564" s="9"/>
    </row>
    <row r="565" customFormat="false" ht="15.75" hidden="false" customHeight="true" outlineLevel="0" collapsed="false">
      <c r="G565" s="9"/>
    </row>
    <row r="566" customFormat="false" ht="15.75" hidden="false" customHeight="true" outlineLevel="0" collapsed="false">
      <c r="G566" s="9"/>
    </row>
    <row r="567" customFormat="false" ht="15.75" hidden="false" customHeight="true" outlineLevel="0" collapsed="false">
      <c r="G567" s="9"/>
    </row>
    <row r="568" customFormat="false" ht="15.75" hidden="false" customHeight="true" outlineLevel="0" collapsed="false">
      <c r="G568" s="9"/>
    </row>
    <row r="569" customFormat="false" ht="15.75" hidden="false" customHeight="true" outlineLevel="0" collapsed="false">
      <c r="G569" s="9"/>
    </row>
    <row r="570" customFormat="false" ht="15.75" hidden="false" customHeight="true" outlineLevel="0" collapsed="false">
      <c r="G570" s="9"/>
    </row>
    <row r="571" customFormat="false" ht="15.75" hidden="false" customHeight="true" outlineLevel="0" collapsed="false">
      <c r="G571" s="9"/>
    </row>
    <row r="572" customFormat="false" ht="15.75" hidden="false" customHeight="true" outlineLevel="0" collapsed="false">
      <c r="G572" s="9"/>
    </row>
    <row r="573" customFormat="false" ht="15.75" hidden="false" customHeight="true" outlineLevel="0" collapsed="false">
      <c r="G573" s="9"/>
    </row>
    <row r="574" customFormat="false" ht="15.75" hidden="false" customHeight="true" outlineLevel="0" collapsed="false">
      <c r="G574" s="9"/>
    </row>
    <row r="575" customFormat="false" ht="15.75" hidden="false" customHeight="true" outlineLevel="0" collapsed="false">
      <c r="G575" s="9"/>
    </row>
    <row r="576" customFormat="false" ht="15.75" hidden="false" customHeight="true" outlineLevel="0" collapsed="false">
      <c r="G576" s="9"/>
    </row>
    <row r="577" customFormat="false" ht="15.75" hidden="false" customHeight="true" outlineLevel="0" collapsed="false">
      <c r="G577" s="9"/>
    </row>
    <row r="578" customFormat="false" ht="15.75" hidden="false" customHeight="true" outlineLevel="0" collapsed="false">
      <c r="G578" s="9"/>
    </row>
    <row r="579" customFormat="false" ht="15.75" hidden="false" customHeight="true" outlineLevel="0" collapsed="false">
      <c r="G579" s="9"/>
    </row>
    <row r="580" customFormat="false" ht="15.75" hidden="false" customHeight="true" outlineLevel="0" collapsed="false">
      <c r="G580" s="9"/>
    </row>
    <row r="581" customFormat="false" ht="15.75" hidden="false" customHeight="true" outlineLevel="0" collapsed="false">
      <c r="G581" s="9"/>
    </row>
    <row r="582" customFormat="false" ht="15.75" hidden="false" customHeight="true" outlineLevel="0" collapsed="false">
      <c r="G582" s="9"/>
    </row>
    <row r="583" customFormat="false" ht="15.75" hidden="false" customHeight="true" outlineLevel="0" collapsed="false">
      <c r="G583" s="9"/>
    </row>
    <row r="584" customFormat="false" ht="15.75" hidden="false" customHeight="true" outlineLevel="0" collapsed="false">
      <c r="G584" s="9"/>
    </row>
    <row r="585" customFormat="false" ht="15.75" hidden="false" customHeight="true" outlineLevel="0" collapsed="false">
      <c r="G585" s="9"/>
    </row>
    <row r="586" customFormat="false" ht="15.75" hidden="false" customHeight="true" outlineLevel="0" collapsed="false">
      <c r="G586" s="9"/>
    </row>
    <row r="587" customFormat="false" ht="15.75" hidden="false" customHeight="true" outlineLevel="0" collapsed="false">
      <c r="G587" s="9"/>
    </row>
    <row r="588" customFormat="false" ht="15.75" hidden="false" customHeight="true" outlineLevel="0" collapsed="false">
      <c r="G588" s="9"/>
    </row>
    <row r="589" customFormat="false" ht="15.75" hidden="false" customHeight="true" outlineLevel="0" collapsed="false">
      <c r="G589" s="9"/>
    </row>
    <row r="590" customFormat="false" ht="15.75" hidden="false" customHeight="true" outlineLevel="0" collapsed="false">
      <c r="G590" s="9"/>
    </row>
    <row r="591" customFormat="false" ht="15.75" hidden="false" customHeight="true" outlineLevel="0" collapsed="false">
      <c r="G591" s="9"/>
    </row>
    <row r="592" customFormat="false" ht="15.75" hidden="false" customHeight="true" outlineLevel="0" collapsed="false">
      <c r="G592" s="9"/>
    </row>
    <row r="593" customFormat="false" ht="15.75" hidden="false" customHeight="true" outlineLevel="0" collapsed="false">
      <c r="G593" s="9"/>
    </row>
    <row r="594" customFormat="false" ht="15.75" hidden="false" customHeight="true" outlineLevel="0" collapsed="false">
      <c r="G594" s="9"/>
    </row>
    <row r="595" customFormat="false" ht="15.75" hidden="false" customHeight="true" outlineLevel="0" collapsed="false">
      <c r="G595" s="9"/>
    </row>
    <row r="596" customFormat="false" ht="15.75" hidden="false" customHeight="true" outlineLevel="0" collapsed="false">
      <c r="G596" s="9"/>
    </row>
    <row r="597" customFormat="false" ht="15.75" hidden="false" customHeight="true" outlineLevel="0" collapsed="false">
      <c r="G597" s="9"/>
    </row>
    <row r="598" customFormat="false" ht="15.75" hidden="false" customHeight="true" outlineLevel="0" collapsed="false">
      <c r="G598" s="9"/>
    </row>
    <row r="599" customFormat="false" ht="15.75" hidden="false" customHeight="true" outlineLevel="0" collapsed="false">
      <c r="G599" s="9"/>
    </row>
    <row r="600" customFormat="false" ht="15.75" hidden="false" customHeight="true" outlineLevel="0" collapsed="false">
      <c r="G600" s="9"/>
    </row>
    <row r="601" customFormat="false" ht="15.75" hidden="false" customHeight="true" outlineLevel="0" collapsed="false">
      <c r="G601" s="9"/>
    </row>
    <row r="602" customFormat="false" ht="15.75" hidden="false" customHeight="true" outlineLevel="0" collapsed="false">
      <c r="G602" s="9"/>
    </row>
    <row r="603" customFormat="false" ht="15.75" hidden="false" customHeight="true" outlineLevel="0" collapsed="false">
      <c r="G603" s="9"/>
    </row>
    <row r="604" customFormat="false" ht="15.75" hidden="false" customHeight="true" outlineLevel="0" collapsed="false">
      <c r="G604" s="9"/>
    </row>
    <row r="605" customFormat="false" ht="15.75" hidden="false" customHeight="true" outlineLevel="0" collapsed="false">
      <c r="G605" s="9"/>
    </row>
    <row r="606" customFormat="false" ht="15.75" hidden="false" customHeight="true" outlineLevel="0" collapsed="false">
      <c r="G606" s="9"/>
    </row>
    <row r="607" customFormat="false" ht="15.75" hidden="false" customHeight="true" outlineLevel="0" collapsed="false">
      <c r="G607" s="9"/>
    </row>
    <row r="608" customFormat="false" ht="15.75" hidden="false" customHeight="true" outlineLevel="0" collapsed="false">
      <c r="G608" s="9"/>
    </row>
    <row r="609" customFormat="false" ht="15.75" hidden="false" customHeight="true" outlineLevel="0" collapsed="false">
      <c r="G609" s="9"/>
    </row>
    <row r="610" customFormat="false" ht="15.75" hidden="false" customHeight="true" outlineLevel="0" collapsed="false">
      <c r="G610" s="9"/>
    </row>
    <row r="611" customFormat="false" ht="15.75" hidden="false" customHeight="true" outlineLevel="0" collapsed="false">
      <c r="G611" s="9"/>
    </row>
    <row r="612" customFormat="false" ht="15.75" hidden="false" customHeight="true" outlineLevel="0" collapsed="false">
      <c r="G612" s="9"/>
    </row>
    <row r="613" customFormat="false" ht="15.75" hidden="false" customHeight="true" outlineLevel="0" collapsed="false">
      <c r="G613" s="9"/>
    </row>
    <row r="614" customFormat="false" ht="15.75" hidden="false" customHeight="true" outlineLevel="0" collapsed="false">
      <c r="G614" s="9"/>
    </row>
    <row r="615" customFormat="false" ht="15.75" hidden="false" customHeight="true" outlineLevel="0" collapsed="false">
      <c r="G615" s="9"/>
    </row>
    <row r="616" customFormat="false" ht="15.75" hidden="false" customHeight="true" outlineLevel="0" collapsed="false">
      <c r="G616" s="9"/>
    </row>
    <row r="617" customFormat="false" ht="15.75" hidden="false" customHeight="true" outlineLevel="0" collapsed="false">
      <c r="G617" s="9"/>
    </row>
    <row r="618" customFormat="false" ht="15.75" hidden="false" customHeight="true" outlineLevel="0" collapsed="false">
      <c r="G618" s="9"/>
    </row>
    <row r="619" customFormat="false" ht="15.75" hidden="false" customHeight="true" outlineLevel="0" collapsed="false">
      <c r="G619" s="9"/>
    </row>
    <row r="620" customFormat="false" ht="15.75" hidden="false" customHeight="true" outlineLevel="0" collapsed="false">
      <c r="G620" s="9"/>
    </row>
    <row r="621" customFormat="false" ht="15.75" hidden="false" customHeight="true" outlineLevel="0" collapsed="false">
      <c r="G621" s="9"/>
    </row>
    <row r="622" customFormat="false" ht="15.75" hidden="false" customHeight="true" outlineLevel="0" collapsed="false">
      <c r="G622" s="9"/>
    </row>
    <row r="623" customFormat="false" ht="15.75" hidden="false" customHeight="true" outlineLevel="0" collapsed="false">
      <c r="G623" s="9"/>
    </row>
    <row r="624" customFormat="false" ht="15.75" hidden="false" customHeight="true" outlineLevel="0" collapsed="false">
      <c r="G624" s="9"/>
    </row>
    <row r="625" customFormat="false" ht="15.75" hidden="false" customHeight="true" outlineLevel="0" collapsed="false">
      <c r="G625" s="9"/>
    </row>
    <row r="626" customFormat="false" ht="15.75" hidden="false" customHeight="true" outlineLevel="0" collapsed="false">
      <c r="G626" s="9"/>
    </row>
    <row r="627" customFormat="false" ht="15.75" hidden="false" customHeight="true" outlineLevel="0" collapsed="false">
      <c r="G627" s="9"/>
    </row>
    <row r="628" customFormat="false" ht="15.75" hidden="false" customHeight="true" outlineLevel="0" collapsed="false">
      <c r="G628" s="9"/>
    </row>
    <row r="629" customFormat="false" ht="15.75" hidden="false" customHeight="true" outlineLevel="0" collapsed="false">
      <c r="G629" s="9"/>
    </row>
    <row r="630" customFormat="false" ht="15.75" hidden="false" customHeight="true" outlineLevel="0" collapsed="false">
      <c r="G630" s="9"/>
    </row>
    <row r="631" customFormat="false" ht="15.75" hidden="false" customHeight="true" outlineLevel="0" collapsed="false">
      <c r="G631" s="9"/>
    </row>
    <row r="632" customFormat="false" ht="15.75" hidden="false" customHeight="true" outlineLevel="0" collapsed="false">
      <c r="G632" s="9"/>
    </row>
    <row r="633" customFormat="false" ht="15.75" hidden="false" customHeight="true" outlineLevel="0" collapsed="false">
      <c r="G633" s="9"/>
    </row>
    <row r="634" customFormat="false" ht="15.75" hidden="false" customHeight="true" outlineLevel="0" collapsed="false">
      <c r="G634" s="9"/>
    </row>
    <row r="635" customFormat="false" ht="15.75" hidden="false" customHeight="true" outlineLevel="0" collapsed="false">
      <c r="G635" s="9"/>
    </row>
    <row r="636" customFormat="false" ht="15.75" hidden="false" customHeight="true" outlineLevel="0" collapsed="false">
      <c r="G636" s="9"/>
    </row>
    <row r="637" customFormat="false" ht="15.75" hidden="false" customHeight="true" outlineLevel="0" collapsed="false">
      <c r="G637" s="9"/>
    </row>
    <row r="638" customFormat="false" ht="15.75" hidden="false" customHeight="true" outlineLevel="0" collapsed="false">
      <c r="G638" s="9"/>
    </row>
    <row r="639" customFormat="false" ht="15.75" hidden="false" customHeight="true" outlineLevel="0" collapsed="false">
      <c r="G639" s="9"/>
    </row>
    <row r="640" customFormat="false" ht="15.75" hidden="false" customHeight="true" outlineLevel="0" collapsed="false">
      <c r="G640" s="9"/>
    </row>
    <row r="641" customFormat="false" ht="15.75" hidden="false" customHeight="true" outlineLevel="0" collapsed="false">
      <c r="G641" s="9"/>
    </row>
    <row r="642" customFormat="false" ht="15.75" hidden="false" customHeight="true" outlineLevel="0" collapsed="false">
      <c r="G642" s="9"/>
    </row>
    <row r="643" customFormat="false" ht="15.75" hidden="false" customHeight="true" outlineLevel="0" collapsed="false">
      <c r="G643" s="9"/>
    </row>
    <row r="644" customFormat="false" ht="15.75" hidden="false" customHeight="true" outlineLevel="0" collapsed="false">
      <c r="G644" s="9"/>
    </row>
    <row r="645" customFormat="false" ht="15.75" hidden="false" customHeight="true" outlineLevel="0" collapsed="false">
      <c r="G645" s="9"/>
    </row>
    <row r="646" customFormat="false" ht="15.75" hidden="false" customHeight="true" outlineLevel="0" collapsed="false">
      <c r="G646" s="9"/>
    </row>
    <row r="647" customFormat="false" ht="15.75" hidden="false" customHeight="true" outlineLevel="0" collapsed="false">
      <c r="G647" s="9"/>
    </row>
    <row r="648" customFormat="false" ht="15.75" hidden="false" customHeight="true" outlineLevel="0" collapsed="false">
      <c r="G648" s="9"/>
    </row>
    <row r="649" customFormat="false" ht="15.75" hidden="false" customHeight="true" outlineLevel="0" collapsed="false">
      <c r="G649" s="9"/>
    </row>
    <row r="650" customFormat="false" ht="15.75" hidden="false" customHeight="true" outlineLevel="0" collapsed="false">
      <c r="G650" s="9"/>
    </row>
    <row r="651" customFormat="false" ht="15.75" hidden="false" customHeight="true" outlineLevel="0" collapsed="false">
      <c r="G651" s="9"/>
    </row>
    <row r="652" customFormat="false" ht="15.75" hidden="false" customHeight="true" outlineLevel="0" collapsed="false">
      <c r="G652" s="9"/>
    </row>
    <row r="653" customFormat="false" ht="15.75" hidden="false" customHeight="true" outlineLevel="0" collapsed="false">
      <c r="G653" s="9"/>
    </row>
    <row r="654" customFormat="false" ht="15.75" hidden="false" customHeight="true" outlineLevel="0" collapsed="false">
      <c r="G654" s="9"/>
    </row>
    <row r="655" customFormat="false" ht="15.75" hidden="false" customHeight="true" outlineLevel="0" collapsed="false">
      <c r="G655" s="9"/>
    </row>
    <row r="656" customFormat="false" ht="15.75" hidden="false" customHeight="true" outlineLevel="0" collapsed="false">
      <c r="G656" s="9"/>
    </row>
    <row r="657" customFormat="false" ht="15.75" hidden="false" customHeight="true" outlineLevel="0" collapsed="false">
      <c r="G657" s="9"/>
    </row>
    <row r="658" customFormat="false" ht="15.75" hidden="false" customHeight="true" outlineLevel="0" collapsed="false">
      <c r="G658" s="9"/>
    </row>
    <row r="659" customFormat="false" ht="15.75" hidden="false" customHeight="true" outlineLevel="0" collapsed="false">
      <c r="G659" s="9"/>
    </row>
    <row r="660" customFormat="false" ht="15.75" hidden="false" customHeight="true" outlineLevel="0" collapsed="false">
      <c r="G660" s="9"/>
    </row>
    <row r="661" customFormat="false" ht="15.75" hidden="false" customHeight="true" outlineLevel="0" collapsed="false">
      <c r="G661" s="9"/>
    </row>
    <row r="662" customFormat="false" ht="15.75" hidden="false" customHeight="true" outlineLevel="0" collapsed="false">
      <c r="G662" s="9"/>
    </row>
    <row r="663" customFormat="false" ht="15.75" hidden="false" customHeight="true" outlineLevel="0" collapsed="false">
      <c r="G663" s="9"/>
    </row>
    <row r="664" customFormat="false" ht="15.75" hidden="false" customHeight="true" outlineLevel="0" collapsed="false">
      <c r="G664" s="9"/>
    </row>
    <row r="665" customFormat="false" ht="15.75" hidden="false" customHeight="true" outlineLevel="0" collapsed="false">
      <c r="G665" s="9"/>
    </row>
    <row r="666" customFormat="false" ht="15.75" hidden="false" customHeight="true" outlineLevel="0" collapsed="false">
      <c r="G666" s="9"/>
    </row>
    <row r="667" customFormat="false" ht="15.75" hidden="false" customHeight="true" outlineLevel="0" collapsed="false">
      <c r="G667" s="9"/>
    </row>
    <row r="668" customFormat="false" ht="15.75" hidden="false" customHeight="true" outlineLevel="0" collapsed="false">
      <c r="G668" s="9"/>
    </row>
    <row r="669" customFormat="false" ht="15.75" hidden="false" customHeight="true" outlineLevel="0" collapsed="false">
      <c r="G669" s="9"/>
    </row>
    <row r="670" customFormat="false" ht="15.75" hidden="false" customHeight="true" outlineLevel="0" collapsed="false">
      <c r="G670" s="9"/>
    </row>
    <row r="671" customFormat="false" ht="15.75" hidden="false" customHeight="true" outlineLevel="0" collapsed="false">
      <c r="G671" s="9"/>
    </row>
    <row r="672" customFormat="false" ht="15.75" hidden="false" customHeight="true" outlineLevel="0" collapsed="false">
      <c r="G672" s="9"/>
    </row>
    <row r="673" customFormat="false" ht="15.75" hidden="false" customHeight="true" outlineLevel="0" collapsed="false">
      <c r="G673" s="9"/>
    </row>
    <row r="674" customFormat="false" ht="15.75" hidden="false" customHeight="true" outlineLevel="0" collapsed="false">
      <c r="G674" s="9"/>
    </row>
    <row r="675" customFormat="false" ht="15.75" hidden="false" customHeight="true" outlineLevel="0" collapsed="false">
      <c r="G675" s="9"/>
    </row>
    <row r="676" customFormat="false" ht="15.75" hidden="false" customHeight="true" outlineLevel="0" collapsed="false">
      <c r="G676" s="9"/>
    </row>
    <row r="677" customFormat="false" ht="15.75" hidden="false" customHeight="true" outlineLevel="0" collapsed="false">
      <c r="G677" s="9"/>
    </row>
    <row r="678" customFormat="false" ht="15.75" hidden="false" customHeight="true" outlineLevel="0" collapsed="false">
      <c r="G678" s="9"/>
    </row>
    <row r="679" customFormat="false" ht="15.75" hidden="false" customHeight="true" outlineLevel="0" collapsed="false">
      <c r="G679" s="9"/>
    </row>
    <row r="680" customFormat="false" ht="15.75" hidden="false" customHeight="true" outlineLevel="0" collapsed="false">
      <c r="G680" s="9"/>
    </row>
    <row r="681" customFormat="false" ht="15.75" hidden="false" customHeight="true" outlineLevel="0" collapsed="false">
      <c r="G681" s="9"/>
    </row>
    <row r="682" customFormat="false" ht="15.75" hidden="false" customHeight="true" outlineLevel="0" collapsed="false">
      <c r="G682" s="9"/>
    </row>
    <row r="683" customFormat="false" ht="15.75" hidden="false" customHeight="true" outlineLevel="0" collapsed="false">
      <c r="G683" s="9"/>
    </row>
    <row r="684" customFormat="false" ht="15.75" hidden="false" customHeight="true" outlineLevel="0" collapsed="false">
      <c r="G684" s="9"/>
    </row>
    <row r="685" customFormat="false" ht="15.75" hidden="false" customHeight="true" outlineLevel="0" collapsed="false">
      <c r="G685" s="9"/>
    </row>
    <row r="686" customFormat="false" ht="15.75" hidden="false" customHeight="true" outlineLevel="0" collapsed="false">
      <c r="G686" s="9"/>
    </row>
    <row r="687" customFormat="false" ht="15.75" hidden="false" customHeight="true" outlineLevel="0" collapsed="false">
      <c r="G687" s="9"/>
    </row>
    <row r="688" customFormat="false" ht="15.75" hidden="false" customHeight="true" outlineLevel="0" collapsed="false">
      <c r="G688" s="9"/>
    </row>
    <row r="689" customFormat="false" ht="15.75" hidden="false" customHeight="true" outlineLevel="0" collapsed="false">
      <c r="G689" s="9"/>
    </row>
    <row r="690" customFormat="false" ht="15.75" hidden="false" customHeight="true" outlineLevel="0" collapsed="false">
      <c r="G690" s="9"/>
    </row>
    <row r="691" customFormat="false" ht="15.75" hidden="false" customHeight="true" outlineLevel="0" collapsed="false">
      <c r="G691" s="9"/>
    </row>
    <row r="692" customFormat="false" ht="15.75" hidden="false" customHeight="true" outlineLevel="0" collapsed="false">
      <c r="G692" s="9"/>
    </row>
    <row r="693" customFormat="false" ht="15.75" hidden="false" customHeight="true" outlineLevel="0" collapsed="false">
      <c r="G693" s="9"/>
    </row>
    <row r="694" customFormat="false" ht="15.75" hidden="false" customHeight="true" outlineLevel="0" collapsed="false">
      <c r="G694" s="9"/>
    </row>
    <row r="695" customFormat="false" ht="15.75" hidden="false" customHeight="true" outlineLevel="0" collapsed="false">
      <c r="G695" s="9"/>
    </row>
    <row r="696" customFormat="false" ht="15.75" hidden="false" customHeight="true" outlineLevel="0" collapsed="false">
      <c r="G696" s="9"/>
    </row>
    <row r="697" customFormat="false" ht="15.75" hidden="false" customHeight="true" outlineLevel="0" collapsed="false">
      <c r="G697" s="9"/>
    </row>
    <row r="698" customFormat="false" ht="15.75" hidden="false" customHeight="true" outlineLevel="0" collapsed="false">
      <c r="G698" s="9"/>
    </row>
    <row r="699" customFormat="false" ht="15.75" hidden="false" customHeight="true" outlineLevel="0" collapsed="false">
      <c r="G699" s="9"/>
    </row>
    <row r="700" customFormat="false" ht="15.75" hidden="false" customHeight="true" outlineLevel="0" collapsed="false">
      <c r="G700" s="9"/>
    </row>
    <row r="701" customFormat="false" ht="15.75" hidden="false" customHeight="true" outlineLevel="0" collapsed="false">
      <c r="G701" s="9"/>
    </row>
    <row r="702" customFormat="false" ht="15.75" hidden="false" customHeight="true" outlineLevel="0" collapsed="false">
      <c r="G702" s="9"/>
    </row>
    <row r="703" customFormat="false" ht="15.75" hidden="false" customHeight="true" outlineLevel="0" collapsed="false">
      <c r="G703" s="9"/>
    </row>
    <row r="704" customFormat="false" ht="15.75" hidden="false" customHeight="true" outlineLevel="0" collapsed="false">
      <c r="G704" s="9"/>
    </row>
    <row r="705" customFormat="false" ht="15.75" hidden="false" customHeight="true" outlineLevel="0" collapsed="false">
      <c r="G705" s="9"/>
    </row>
    <row r="706" customFormat="false" ht="15.75" hidden="false" customHeight="true" outlineLevel="0" collapsed="false">
      <c r="G706" s="9"/>
    </row>
    <row r="707" customFormat="false" ht="15.75" hidden="false" customHeight="true" outlineLevel="0" collapsed="false">
      <c r="G707" s="9"/>
    </row>
    <row r="708" customFormat="false" ht="15.75" hidden="false" customHeight="true" outlineLevel="0" collapsed="false">
      <c r="G708" s="9"/>
    </row>
    <row r="709" customFormat="false" ht="15.75" hidden="false" customHeight="true" outlineLevel="0" collapsed="false">
      <c r="G709" s="9"/>
    </row>
    <row r="710" customFormat="false" ht="15.75" hidden="false" customHeight="true" outlineLevel="0" collapsed="false">
      <c r="G710" s="9"/>
    </row>
    <row r="711" customFormat="false" ht="15.75" hidden="false" customHeight="true" outlineLevel="0" collapsed="false">
      <c r="G711" s="9"/>
    </row>
    <row r="712" customFormat="false" ht="15.75" hidden="false" customHeight="true" outlineLevel="0" collapsed="false">
      <c r="G712" s="9"/>
    </row>
    <row r="713" customFormat="false" ht="15.75" hidden="false" customHeight="true" outlineLevel="0" collapsed="false">
      <c r="G713" s="9"/>
    </row>
    <row r="714" customFormat="false" ht="15.75" hidden="false" customHeight="true" outlineLevel="0" collapsed="false">
      <c r="G714" s="9"/>
    </row>
    <row r="715" customFormat="false" ht="15.75" hidden="false" customHeight="true" outlineLevel="0" collapsed="false">
      <c r="G715" s="9"/>
    </row>
    <row r="716" customFormat="false" ht="15.75" hidden="false" customHeight="true" outlineLevel="0" collapsed="false">
      <c r="G716" s="9"/>
    </row>
    <row r="717" customFormat="false" ht="15.75" hidden="false" customHeight="true" outlineLevel="0" collapsed="false">
      <c r="G717" s="9"/>
    </row>
    <row r="718" customFormat="false" ht="15.75" hidden="false" customHeight="true" outlineLevel="0" collapsed="false">
      <c r="G718" s="9"/>
    </row>
    <row r="719" customFormat="false" ht="15.75" hidden="false" customHeight="true" outlineLevel="0" collapsed="false">
      <c r="G719" s="9"/>
    </row>
    <row r="720" customFormat="false" ht="15.75" hidden="false" customHeight="true" outlineLevel="0" collapsed="false">
      <c r="G720" s="9"/>
    </row>
    <row r="721" customFormat="false" ht="15.75" hidden="false" customHeight="true" outlineLevel="0" collapsed="false">
      <c r="G721" s="9"/>
    </row>
    <row r="722" customFormat="false" ht="15.75" hidden="false" customHeight="true" outlineLevel="0" collapsed="false">
      <c r="G722" s="9"/>
    </row>
    <row r="723" customFormat="false" ht="15.75" hidden="false" customHeight="true" outlineLevel="0" collapsed="false">
      <c r="G723" s="9"/>
    </row>
    <row r="724" customFormat="false" ht="15.75" hidden="false" customHeight="true" outlineLevel="0" collapsed="false">
      <c r="G724" s="9"/>
    </row>
    <row r="725" customFormat="false" ht="15.75" hidden="false" customHeight="true" outlineLevel="0" collapsed="false">
      <c r="G725" s="9"/>
    </row>
    <row r="726" customFormat="false" ht="15.75" hidden="false" customHeight="true" outlineLevel="0" collapsed="false">
      <c r="G726" s="9"/>
    </row>
    <row r="727" customFormat="false" ht="15.75" hidden="false" customHeight="true" outlineLevel="0" collapsed="false">
      <c r="G727" s="9"/>
    </row>
    <row r="728" customFormat="false" ht="15.75" hidden="false" customHeight="true" outlineLevel="0" collapsed="false">
      <c r="G728" s="9"/>
    </row>
    <row r="729" customFormat="false" ht="15.75" hidden="false" customHeight="true" outlineLevel="0" collapsed="false">
      <c r="G729" s="9"/>
    </row>
    <row r="730" customFormat="false" ht="15.75" hidden="false" customHeight="true" outlineLevel="0" collapsed="false">
      <c r="G730" s="9"/>
    </row>
    <row r="731" customFormat="false" ht="15.75" hidden="false" customHeight="true" outlineLevel="0" collapsed="false">
      <c r="G731" s="9"/>
    </row>
    <row r="732" customFormat="false" ht="15.75" hidden="false" customHeight="true" outlineLevel="0" collapsed="false">
      <c r="G732" s="9"/>
    </row>
    <row r="733" customFormat="false" ht="15.75" hidden="false" customHeight="true" outlineLevel="0" collapsed="false">
      <c r="G733" s="9"/>
    </row>
    <row r="734" customFormat="false" ht="15.75" hidden="false" customHeight="true" outlineLevel="0" collapsed="false">
      <c r="G734" s="9"/>
    </row>
    <row r="735" customFormat="false" ht="15.75" hidden="false" customHeight="true" outlineLevel="0" collapsed="false">
      <c r="G735" s="9"/>
    </row>
    <row r="736" customFormat="false" ht="15.75" hidden="false" customHeight="true" outlineLevel="0" collapsed="false">
      <c r="G736" s="9"/>
    </row>
    <row r="737" customFormat="false" ht="15.75" hidden="false" customHeight="true" outlineLevel="0" collapsed="false">
      <c r="G737" s="9"/>
    </row>
    <row r="738" customFormat="false" ht="15.75" hidden="false" customHeight="true" outlineLevel="0" collapsed="false">
      <c r="G738" s="9"/>
    </row>
    <row r="739" customFormat="false" ht="15.75" hidden="false" customHeight="true" outlineLevel="0" collapsed="false">
      <c r="G739" s="9"/>
    </row>
    <row r="740" customFormat="false" ht="15.75" hidden="false" customHeight="true" outlineLevel="0" collapsed="false">
      <c r="G740" s="9"/>
    </row>
    <row r="741" customFormat="false" ht="15.75" hidden="false" customHeight="true" outlineLevel="0" collapsed="false">
      <c r="G741" s="9"/>
    </row>
    <row r="742" customFormat="false" ht="15.75" hidden="false" customHeight="true" outlineLevel="0" collapsed="false">
      <c r="G742" s="9"/>
    </row>
    <row r="743" customFormat="false" ht="15.75" hidden="false" customHeight="true" outlineLevel="0" collapsed="false">
      <c r="G743" s="9"/>
    </row>
    <row r="744" customFormat="false" ht="15.75" hidden="false" customHeight="true" outlineLevel="0" collapsed="false">
      <c r="G744" s="9"/>
    </row>
    <row r="745" customFormat="false" ht="15.75" hidden="false" customHeight="true" outlineLevel="0" collapsed="false">
      <c r="G745" s="9"/>
    </row>
    <row r="746" customFormat="false" ht="15.75" hidden="false" customHeight="true" outlineLevel="0" collapsed="false">
      <c r="G746" s="9"/>
    </row>
    <row r="747" customFormat="false" ht="15.75" hidden="false" customHeight="true" outlineLevel="0" collapsed="false">
      <c r="G747" s="9"/>
    </row>
    <row r="748" customFormat="false" ht="15.75" hidden="false" customHeight="true" outlineLevel="0" collapsed="false">
      <c r="G748" s="9"/>
    </row>
    <row r="749" customFormat="false" ht="15.75" hidden="false" customHeight="true" outlineLevel="0" collapsed="false">
      <c r="G749" s="9"/>
    </row>
    <row r="750" customFormat="false" ht="15.75" hidden="false" customHeight="true" outlineLevel="0" collapsed="false">
      <c r="G750" s="9"/>
    </row>
    <row r="751" customFormat="false" ht="15.75" hidden="false" customHeight="true" outlineLevel="0" collapsed="false">
      <c r="G751" s="9"/>
    </row>
    <row r="752" customFormat="false" ht="15.75" hidden="false" customHeight="true" outlineLevel="0" collapsed="false">
      <c r="G752" s="9"/>
    </row>
    <row r="753" customFormat="false" ht="15.75" hidden="false" customHeight="true" outlineLevel="0" collapsed="false">
      <c r="G753" s="9"/>
    </row>
    <row r="754" customFormat="false" ht="15.75" hidden="false" customHeight="true" outlineLevel="0" collapsed="false">
      <c r="G754" s="9"/>
    </row>
    <row r="755" customFormat="false" ht="15.75" hidden="false" customHeight="true" outlineLevel="0" collapsed="false">
      <c r="G755" s="9"/>
    </row>
    <row r="756" customFormat="false" ht="15.75" hidden="false" customHeight="true" outlineLevel="0" collapsed="false">
      <c r="G756" s="9"/>
    </row>
    <row r="757" customFormat="false" ht="15.75" hidden="false" customHeight="true" outlineLevel="0" collapsed="false">
      <c r="G757" s="9"/>
    </row>
    <row r="758" customFormat="false" ht="15.75" hidden="false" customHeight="true" outlineLevel="0" collapsed="false">
      <c r="G758" s="9"/>
    </row>
    <row r="759" customFormat="false" ht="15.75" hidden="false" customHeight="true" outlineLevel="0" collapsed="false">
      <c r="G759" s="9"/>
    </row>
    <row r="760" customFormat="false" ht="15.75" hidden="false" customHeight="true" outlineLevel="0" collapsed="false">
      <c r="G760" s="9"/>
    </row>
    <row r="761" customFormat="false" ht="15.75" hidden="false" customHeight="true" outlineLevel="0" collapsed="false">
      <c r="G761" s="9"/>
    </row>
    <row r="762" customFormat="false" ht="15.75" hidden="false" customHeight="true" outlineLevel="0" collapsed="false">
      <c r="G762" s="9"/>
    </row>
    <row r="763" customFormat="false" ht="15.75" hidden="false" customHeight="true" outlineLevel="0" collapsed="false">
      <c r="G763" s="9"/>
    </row>
    <row r="764" customFormat="false" ht="15.75" hidden="false" customHeight="true" outlineLevel="0" collapsed="false">
      <c r="G764" s="9"/>
    </row>
    <row r="765" customFormat="false" ht="15.75" hidden="false" customHeight="true" outlineLevel="0" collapsed="false">
      <c r="G765" s="9"/>
    </row>
    <row r="766" customFormat="false" ht="15.75" hidden="false" customHeight="true" outlineLevel="0" collapsed="false">
      <c r="G766" s="9"/>
    </row>
    <row r="767" customFormat="false" ht="15.75" hidden="false" customHeight="true" outlineLevel="0" collapsed="false">
      <c r="G767" s="9"/>
    </row>
    <row r="768" customFormat="false" ht="15.75" hidden="false" customHeight="true" outlineLevel="0" collapsed="false">
      <c r="G768" s="9"/>
    </row>
    <row r="769" customFormat="false" ht="15.75" hidden="false" customHeight="true" outlineLevel="0" collapsed="false">
      <c r="G769" s="9"/>
    </row>
    <row r="770" customFormat="false" ht="15.75" hidden="false" customHeight="true" outlineLevel="0" collapsed="false">
      <c r="G770" s="9"/>
    </row>
    <row r="771" customFormat="false" ht="15.75" hidden="false" customHeight="true" outlineLevel="0" collapsed="false">
      <c r="G771" s="9"/>
    </row>
    <row r="772" customFormat="false" ht="15.75" hidden="false" customHeight="true" outlineLevel="0" collapsed="false">
      <c r="G772" s="9"/>
    </row>
    <row r="773" customFormat="false" ht="15.75" hidden="false" customHeight="true" outlineLevel="0" collapsed="false">
      <c r="G773" s="9"/>
    </row>
    <row r="774" customFormat="false" ht="15.75" hidden="false" customHeight="true" outlineLevel="0" collapsed="false">
      <c r="G774" s="9"/>
    </row>
    <row r="775" customFormat="false" ht="15.75" hidden="false" customHeight="true" outlineLevel="0" collapsed="false">
      <c r="G775" s="9"/>
    </row>
    <row r="776" customFormat="false" ht="15.75" hidden="false" customHeight="true" outlineLevel="0" collapsed="false">
      <c r="G776" s="9"/>
    </row>
    <row r="777" customFormat="false" ht="15.75" hidden="false" customHeight="true" outlineLevel="0" collapsed="false">
      <c r="G777" s="9"/>
    </row>
    <row r="778" customFormat="false" ht="15.75" hidden="false" customHeight="true" outlineLevel="0" collapsed="false">
      <c r="G778" s="9"/>
    </row>
    <row r="779" customFormat="false" ht="15.75" hidden="false" customHeight="true" outlineLevel="0" collapsed="false">
      <c r="G779" s="9"/>
    </row>
    <row r="780" customFormat="false" ht="15.75" hidden="false" customHeight="true" outlineLevel="0" collapsed="false">
      <c r="G780" s="9"/>
    </row>
    <row r="781" customFormat="false" ht="15.75" hidden="false" customHeight="true" outlineLevel="0" collapsed="false">
      <c r="G781" s="9"/>
    </row>
    <row r="782" customFormat="false" ht="15.75" hidden="false" customHeight="true" outlineLevel="0" collapsed="false">
      <c r="G782" s="9"/>
    </row>
    <row r="783" customFormat="false" ht="15.75" hidden="false" customHeight="true" outlineLevel="0" collapsed="false">
      <c r="G783" s="9"/>
    </row>
    <row r="784" customFormat="false" ht="15.75" hidden="false" customHeight="true" outlineLevel="0" collapsed="false">
      <c r="G784" s="9"/>
    </row>
    <row r="785" customFormat="false" ht="15.75" hidden="false" customHeight="true" outlineLevel="0" collapsed="false">
      <c r="G785" s="9"/>
    </row>
    <row r="786" customFormat="false" ht="15.75" hidden="false" customHeight="true" outlineLevel="0" collapsed="false">
      <c r="G786" s="9"/>
    </row>
    <row r="787" customFormat="false" ht="15.75" hidden="false" customHeight="true" outlineLevel="0" collapsed="false">
      <c r="G787" s="9"/>
    </row>
    <row r="788" customFormat="false" ht="15.75" hidden="false" customHeight="true" outlineLevel="0" collapsed="false">
      <c r="G788" s="9"/>
    </row>
    <row r="789" customFormat="false" ht="15.75" hidden="false" customHeight="true" outlineLevel="0" collapsed="false">
      <c r="G789" s="9"/>
    </row>
    <row r="790" customFormat="false" ht="15.75" hidden="false" customHeight="true" outlineLevel="0" collapsed="false">
      <c r="G790" s="9"/>
    </row>
    <row r="791" customFormat="false" ht="15.75" hidden="false" customHeight="true" outlineLevel="0" collapsed="false">
      <c r="G791" s="9"/>
    </row>
    <row r="792" customFormat="false" ht="15.75" hidden="false" customHeight="true" outlineLevel="0" collapsed="false">
      <c r="G792" s="9"/>
    </row>
    <row r="793" customFormat="false" ht="15.75" hidden="false" customHeight="true" outlineLevel="0" collapsed="false">
      <c r="G793" s="9"/>
    </row>
    <row r="794" customFormat="false" ht="15.75" hidden="false" customHeight="true" outlineLevel="0" collapsed="false">
      <c r="G794" s="9"/>
    </row>
    <row r="795" customFormat="false" ht="15.75" hidden="false" customHeight="true" outlineLevel="0" collapsed="false">
      <c r="G795" s="9"/>
    </row>
    <row r="796" customFormat="false" ht="15.75" hidden="false" customHeight="true" outlineLevel="0" collapsed="false">
      <c r="G796" s="9"/>
    </row>
    <row r="797" customFormat="false" ht="15.75" hidden="false" customHeight="true" outlineLevel="0" collapsed="false">
      <c r="G797" s="9"/>
    </row>
    <row r="798" customFormat="false" ht="15.75" hidden="false" customHeight="true" outlineLevel="0" collapsed="false">
      <c r="G798" s="9"/>
    </row>
    <row r="799" customFormat="false" ht="15.75" hidden="false" customHeight="true" outlineLevel="0" collapsed="false">
      <c r="G799" s="9"/>
    </row>
    <row r="800" customFormat="false" ht="15.75" hidden="false" customHeight="true" outlineLevel="0" collapsed="false">
      <c r="G800" s="9"/>
    </row>
    <row r="801" customFormat="false" ht="15.75" hidden="false" customHeight="true" outlineLevel="0" collapsed="false">
      <c r="G801" s="9"/>
    </row>
    <row r="802" customFormat="false" ht="15.75" hidden="false" customHeight="true" outlineLevel="0" collapsed="false">
      <c r="G802" s="9"/>
    </row>
    <row r="803" customFormat="false" ht="15.75" hidden="false" customHeight="true" outlineLevel="0" collapsed="false">
      <c r="G803" s="9"/>
    </row>
    <row r="804" customFormat="false" ht="15.75" hidden="false" customHeight="true" outlineLevel="0" collapsed="false">
      <c r="G804" s="9"/>
    </row>
    <row r="805" customFormat="false" ht="15.75" hidden="false" customHeight="true" outlineLevel="0" collapsed="false">
      <c r="G805" s="9"/>
    </row>
    <row r="806" customFormat="false" ht="15.75" hidden="false" customHeight="true" outlineLevel="0" collapsed="false">
      <c r="G806" s="9"/>
    </row>
    <row r="807" customFormat="false" ht="15.75" hidden="false" customHeight="true" outlineLevel="0" collapsed="false">
      <c r="G807" s="9"/>
    </row>
    <row r="808" customFormat="false" ht="15.75" hidden="false" customHeight="true" outlineLevel="0" collapsed="false">
      <c r="G808" s="9"/>
    </row>
    <row r="809" customFormat="false" ht="15.75" hidden="false" customHeight="true" outlineLevel="0" collapsed="false">
      <c r="G809" s="9"/>
    </row>
    <row r="810" customFormat="false" ht="15.75" hidden="false" customHeight="true" outlineLevel="0" collapsed="false">
      <c r="G810" s="9"/>
    </row>
    <row r="811" customFormat="false" ht="15.75" hidden="false" customHeight="true" outlineLevel="0" collapsed="false">
      <c r="G811" s="9"/>
    </row>
    <row r="812" customFormat="false" ht="15.75" hidden="false" customHeight="true" outlineLevel="0" collapsed="false">
      <c r="G812" s="9"/>
    </row>
    <row r="813" customFormat="false" ht="15.75" hidden="false" customHeight="true" outlineLevel="0" collapsed="false">
      <c r="G813" s="9"/>
    </row>
    <row r="814" customFormat="false" ht="15.75" hidden="false" customHeight="true" outlineLevel="0" collapsed="false">
      <c r="G814" s="9"/>
    </row>
    <row r="815" customFormat="false" ht="15.75" hidden="false" customHeight="true" outlineLevel="0" collapsed="false">
      <c r="G815" s="9"/>
    </row>
    <row r="816" customFormat="false" ht="15.75" hidden="false" customHeight="true" outlineLevel="0" collapsed="false">
      <c r="G816" s="9"/>
    </row>
    <row r="817" customFormat="false" ht="15.75" hidden="false" customHeight="true" outlineLevel="0" collapsed="false">
      <c r="G817" s="9"/>
    </row>
    <row r="818" customFormat="false" ht="15.75" hidden="false" customHeight="true" outlineLevel="0" collapsed="false">
      <c r="G818" s="9"/>
    </row>
    <row r="819" customFormat="false" ht="15.75" hidden="false" customHeight="true" outlineLevel="0" collapsed="false">
      <c r="G819" s="9"/>
    </row>
    <row r="820" customFormat="false" ht="15.75" hidden="false" customHeight="true" outlineLevel="0" collapsed="false">
      <c r="G820" s="9"/>
    </row>
    <row r="821" customFormat="false" ht="15.75" hidden="false" customHeight="true" outlineLevel="0" collapsed="false">
      <c r="G821" s="9"/>
    </row>
    <row r="822" customFormat="false" ht="15.75" hidden="false" customHeight="true" outlineLevel="0" collapsed="false">
      <c r="G822" s="9"/>
    </row>
    <row r="823" customFormat="false" ht="15.75" hidden="false" customHeight="true" outlineLevel="0" collapsed="false">
      <c r="G823" s="9"/>
    </row>
    <row r="824" customFormat="false" ht="15.75" hidden="false" customHeight="true" outlineLevel="0" collapsed="false">
      <c r="G824" s="9"/>
    </row>
    <row r="825" customFormat="false" ht="15.75" hidden="false" customHeight="true" outlineLevel="0" collapsed="false">
      <c r="G825" s="9"/>
    </row>
    <row r="826" customFormat="false" ht="15.75" hidden="false" customHeight="true" outlineLevel="0" collapsed="false">
      <c r="G826" s="9"/>
    </row>
    <row r="827" customFormat="false" ht="15.75" hidden="false" customHeight="true" outlineLevel="0" collapsed="false">
      <c r="G827" s="9"/>
    </row>
    <row r="828" customFormat="false" ht="15.75" hidden="false" customHeight="true" outlineLevel="0" collapsed="false">
      <c r="G828" s="9"/>
    </row>
    <row r="829" customFormat="false" ht="15.75" hidden="false" customHeight="true" outlineLevel="0" collapsed="false">
      <c r="G829" s="9"/>
    </row>
    <row r="830" customFormat="false" ht="15.75" hidden="false" customHeight="true" outlineLevel="0" collapsed="false">
      <c r="G830" s="9"/>
    </row>
    <row r="831" customFormat="false" ht="15.75" hidden="false" customHeight="true" outlineLevel="0" collapsed="false">
      <c r="G831" s="9"/>
    </row>
    <row r="832" customFormat="false" ht="15.75" hidden="false" customHeight="true" outlineLevel="0" collapsed="false">
      <c r="G832" s="9"/>
    </row>
    <row r="833" customFormat="false" ht="15.75" hidden="false" customHeight="true" outlineLevel="0" collapsed="false">
      <c r="G833" s="9"/>
    </row>
    <row r="834" customFormat="false" ht="15.75" hidden="false" customHeight="true" outlineLevel="0" collapsed="false">
      <c r="G834" s="9"/>
    </row>
    <row r="835" customFormat="false" ht="15.75" hidden="false" customHeight="true" outlineLevel="0" collapsed="false">
      <c r="G835" s="9"/>
    </row>
    <row r="836" customFormat="false" ht="15.75" hidden="false" customHeight="true" outlineLevel="0" collapsed="false">
      <c r="G836" s="9"/>
    </row>
    <row r="837" customFormat="false" ht="15.75" hidden="false" customHeight="true" outlineLevel="0" collapsed="false">
      <c r="G837" s="9"/>
    </row>
    <row r="838" customFormat="false" ht="15.75" hidden="false" customHeight="true" outlineLevel="0" collapsed="false">
      <c r="G838" s="9"/>
    </row>
    <row r="839" customFormat="false" ht="15.75" hidden="false" customHeight="true" outlineLevel="0" collapsed="false">
      <c r="G839" s="9"/>
    </row>
    <row r="840" customFormat="false" ht="15.75" hidden="false" customHeight="true" outlineLevel="0" collapsed="false">
      <c r="G840" s="9"/>
    </row>
    <row r="841" customFormat="false" ht="15.75" hidden="false" customHeight="true" outlineLevel="0" collapsed="false">
      <c r="G841" s="9"/>
    </row>
    <row r="842" customFormat="false" ht="15.75" hidden="false" customHeight="true" outlineLevel="0" collapsed="false">
      <c r="G842" s="9"/>
    </row>
    <row r="843" customFormat="false" ht="15.75" hidden="false" customHeight="true" outlineLevel="0" collapsed="false">
      <c r="G843" s="9"/>
    </row>
    <row r="844" customFormat="false" ht="15.75" hidden="false" customHeight="true" outlineLevel="0" collapsed="false">
      <c r="G844" s="9"/>
    </row>
    <row r="845" customFormat="false" ht="15.75" hidden="false" customHeight="true" outlineLevel="0" collapsed="false">
      <c r="G845" s="9"/>
    </row>
    <row r="846" customFormat="false" ht="15.75" hidden="false" customHeight="true" outlineLevel="0" collapsed="false">
      <c r="G846" s="9"/>
    </row>
    <row r="847" customFormat="false" ht="15.75" hidden="false" customHeight="true" outlineLevel="0" collapsed="false">
      <c r="G847" s="9"/>
    </row>
    <row r="848" customFormat="false" ht="15.75" hidden="false" customHeight="true" outlineLevel="0" collapsed="false">
      <c r="G848" s="9"/>
    </row>
    <row r="849" customFormat="false" ht="15.75" hidden="false" customHeight="true" outlineLevel="0" collapsed="false">
      <c r="G849" s="9"/>
    </row>
    <row r="850" customFormat="false" ht="15.75" hidden="false" customHeight="true" outlineLevel="0" collapsed="false">
      <c r="G850" s="9"/>
    </row>
    <row r="851" customFormat="false" ht="15.75" hidden="false" customHeight="true" outlineLevel="0" collapsed="false">
      <c r="G851" s="9"/>
    </row>
    <row r="852" customFormat="false" ht="15.75" hidden="false" customHeight="true" outlineLevel="0" collapsed="false">
      <c r="G852" s="9"/>
    </row>
    <row r="853" customFormat="false" ht="15.75" hidden="false" customHeight="true" outlineLevel="0" collapsed="false">
      <c r="G853" s="9"/>
    </row>
    <row r="854" customFormat="false" ht="15.75" hidden="false" customHeight="true" outlineLevel="0" collapsed="false">
      <c r="G854" s="9"/>
    </row>
    <row r="855" customFormat="false" ht="15.75" hidden="false" customHeight="true" outlineLevel="0" collapsed="false">
      <c r="G855" s="9"/>
    </row>
    <row r="856" customFormat="false" ht="15.75" hidden="false" customHeight="true" outlineLevel="0" collapsed="false">
      <c r="G856" s="9"/>
    </row>
    <row r="857" customFormat="false" ht="15.75" hidden="false" customHeight="true" outlineLevel="0" collapsed="false">
      <c r="G857" s="9"/>
    </row>
    <row r="858" customFormat="false" ht="15.75" hidden="false" customHeight="true" outlineLevel="0" collapsed="false">
      <c r="G858" s="9"/>
    </row>
    <row r="859" customFormat="false" ht="15.75" hidden="false" customHeight="true" outlineLevel="0" collapsed="false">
      <c r="G859" s="9"/>
    </row>
    <row r="860" customFormat="false" ht="15.75" hidden="false" customHeight="true" outlineLevel="0" collapsed="false">
      <c r="G860" s="9"/>
    </row>
    <row r="861" customFormat="false" ht="15.75" hidden="false" customHeight="true" outlineLevel="0" collapsed="false">
      <c r="G861" s="9"/>
    </row>
    <row r="862" customFormat="false" ht="15.75" hidden="false" customHeight="true" outlineLevel="0" collapsed="false">
      <c r="G862" s="9"/>
    </row>
    <row r="863" customFormat="false" ht="15.75" hidden="false" customHeight="true" outlineLevel="0" collapsed="false">
      <c r="G863" s="9"/>
    </row>
    <row r="864" customFormat="false" ht="15.75" hidden="false" customHeight="true" outlineLevel="0" collapsed="false">
      <c r="G864" s="9"/>
    </row>
    <row r="865" customFormat="false" ht="15.75" hidden="false" customHeight="true" outlineLevel="0" collapsed="false">
      <c r="G865" s="9"/>
    </row>
    <row r="866" customFormat="false" ht="15.75" hidden="false" customHeight="true" outlineLevel="0" collapsed="false">
      <c r="G866" s="9"/>
    </row>
    <row r="867" customFormat="false" ht="15.75" hidden="false" customHeight="true" outlineLevel="0" collapsed="false">
      <c r="G867" s="9"/>
    </row>
    <row r="868" customFormat="false" ht="15.75" hidden="false" customHeight="true" outlineLevel="0" collapsed="false">
      <c r="G868" s="9"/>
    </row>
    <row r="869" customFormat="false" ht="15.75" hidden="false" customHeight="true" outlineLevel="0" collapsed="false">
      <c r="G869" s="9"/>
    </row>
    <row r="870" customFormat="false" ht="15.75" hidden="false" customHeight="true" outlineLevel="0" collapsed="false">
      <c r="G870" s="9"/>
    </row>
    <row r="871" customFormat="false" ht="15.75" hidden="false" customHeight="true" outlineLevel="0" collapsed="false">
      <c r="G871" s="9"/>
    </row>
    <row r="872" customFormat="false" ht="15.75" hidden="false" customHeight="true" outlineLevel="0" collapsed="false">
      <c r="G872" s="9"/>
    </row>
    <row r="873" customFormat="false" ht="15.75" hidden="false" customHeight="true" outlineLevel="0" collapsed="false">
      <c r="G873" s="9"/>
    </row>
    <row r="874" customFormat="false" ht="15.75" hidden="false" customHeight="true" outlineLevel="0" collapsed="false">
      <c r="G874" s="9"/>
    </row>
    <row r="875" customFormat="false" ht="15.75" hidden="false" customHeight="true" outlineLevel="0" collapsed="false">
      <c r="G875" s="9"/>
    </row>
    <row r="876" customFormat="false" ht="15.75" hidden="false" customHeight="true" outlineLevel="0" collapsed="false">
      <c r="G876" s="9"/>
    </row>
    <row r="877" customFormat="false" ht="15.75" hidden="false" customHeight="true" outlineLevel="0" collapsed="false">
      <c r="G877" s="9"/>
    </row>
    <row r="878" customFormat="false" ht="15.75" hidden="false" customHeight="true" outlineLevel="0" collapsed="false">
      <c r="G878" s="9"/>
    </row>
    <row r="879" customFormat="false" ht="15.75" hidden="false" customHeight="true" outlineLevel="0" collapsed="false">
      <c r="G879" s="9"/>
    </row>
    <row r="880" customFormat="false" ht="15.75" hidden="false" customHeight="true" outlineLevel="0" collapsed="false">
      <c r="G880" s="9"/>
    </row>
    <row r="881" customFormat="false" ht="15.75" hidden="false" customHeight="true" outlineLevel="0" collapsed="false">
      <c r="G881" s="9"/>
    </row>
    <row r="882" customFormat="false" ht="15.75" hidden="false" customHeight="true" outlineLevel="0" collapsed="false">
      <c r="G882" s="9"/>
    </row>
    <row r="883" customFormat="false" ht="15.75" hidden="false" customHeight="true" outlineLevel="0" collapsed="false">
      <c r="G883" s="9"/>
    </row>
    <row r="884" customFormat="false" ht="15.75" hidden="false" customHeight="true" outlineLevel="0" collapsed="false">
      <c r="G884" s="9"/>
    </row>
    <row r="885" customFormat="false" ht="15.75" hidden="false" customHeight="true" outlineLevel="0" collapsed="false">
      <c r="G885" s="9"/>
    </row>
    <row r="886" customFormat="false" ht="15.75" hidden="false" customHeight="true" outlineLevel="0" collapsed="false">
      <c r="G886" s="9"/>
    </row>
    <row r="887" customFormat="false" ht="15.75" hidden="false" customHeight="true" outlineLevel="0" collapsed="false">
      <c r="G887" s="9"/>
    </row>
    <row r="888" customFormat="false" ht="15.75" hidden="false" customHeight="true" outlineLevel="0" collapsed="false">
      <c r="G888" s="9"/>
    </row>
    <row r="889" customFormat="false" ht="15.75" hidden="false" customHeight="true" outlineLevel="0" collapsed="false">
      <c r="G889" s="9"/>
    </row>
    <row r="890" customFormat="false" ht="15.75" hidden="false" customHeight="true" outlineLevel="0" collapsed="false">
      <c r="G890" s="9"/>
    </row>
    <row r="891" customFormat="false" ht="15.75" hidden="false" customHeight="true" outlineLevel="0" collapsed="false">
      <c r="G891" s="9"/>
    </row>
    <row r="892" customFormat="false" ht="15.75" hidden="false" customHeight="true" outlineLevel="0" collapsed="false">
      <c r="G892" s="9"/>
    </row>
    <row r="893" customFormat="false" ht="15.75" hidden="false" customHeight="true" outlineLevel="0" collapsed="false">
      <c r="G893" s="9"/>
    </row>
    <row r="894" customFormat="false" ht="15.75" hidden="false" customHeight="true" outlineLevel="0" collapsed="false">
      <c r="G894" s="9"/>
    </row>
    <row r="895" customFormat="false" ht="15.75" hidden="false" customHeight="true" outlineLevel="0" collapsed="false">
      <c r="G895" s="9"/>
    </row>
    <row r="896" customFormat="false" ht="15.75" hidden="false" customHeight="true" outlineLevel="0" collapsed="false">
      <c r="G896" s="9"/>
    </row>
    <row r="897" customFormat="false" ht="15.75" hidden="false" customHeight="true" outlineLevel="0" collapsed="false">
      <c r="G897" s="9"/>
    </row>
    <row r="898" customFormat="false" ht="15.75" hidden="false" customHeight="true" outlineLevel="0" collapsed="false">
      <c r="G898" s="9"/>
    </row>
    <row r="899" customFormat="false" ht="15.75" hidden="false" customHeight="true" outlineLevel="0" collapsed="false">
      <c r="G899" s="9"/>
    </row>
    <row r="900" customFormat="false" ht="15.75" hidden="false" customHeight="true" outlineLevel="0" collapsed="false">
      <c r="G900" s="9"/>
    </row>
    <row r="901" customFormat="false" ht="15.75" hidden="false" customHeight="true" outlineLevel="0" collapsed="false">
      <c r="G901" s="9"/>
    </row>
    <row r="902" customFormat="false" ht="15.75" hidden="false" customHeight="true" outlineLevel="0" collapsed="false">
      <c r="G902" s="9"/>
    </row>
    <row r="903" customFormat="false" ht="15.75" hidden="false" customHeight="true" outlineLevel="0" collapsed="false">
      <c r="G903" s="9"/>
    </row>
    <row r="904" customFormat="false" ht="15.75" hidden="false" customHeight="true" outlineLevel="0" collapsed="false">
      <c r="G904" s="9"/>
    </row>
    <row r="905" customFormat="false" ht="15.75" hidden="false" customHeight="true" outlineLevel="0" collapsed="false">
      <c r="G905" s="9"/>
    </row>
    <row r="906" customFormat="false" ht="15.75" hidden="false" customHeight="true" outlineLevel="0" collapsed="false">
      <c r="G906" s="9"/>
    </row>
    <row r="907" customFormat="false" ht="15.75" hidden="false" customHeight="true" outlineLevel="0" collapsed="false">
      <c r="G907" s="9"/>
    </row>
    <row r="908" customFormat="false" ht="15.75" hidden="false" customHeight="true" outlineLevel="0" collapsed="false">
      <c r="G908" s="9"/>
    </row>
    <row r="909" customFormat="false" ht="15.75" hidden="false" customHeight="true" outlineLevel="0" collapsed="false">
      <c r="G909" s="9"/>
    </row>
    <row r="910" customFormat="false" ht="15.75" hidden="false" customHeight="true" outlineLevel="0" collapsed="false">
      <c r="G910" s="9"/>
    </row>
    <row r="911" customFormat="false" ht="15.75" hidden="false" customHeight="true" outlineLevel="0" collapsed="false">
      <c r="G911" s="9"/>
    </row>
    <row r="912" customFormat="false" ht="15.75" hidden="false" customHeight="true" outlineLevel="0" collapsed="false">
      <c r="G912" s="9"/>
    </row>
    <row r="913" customFormat="false" ht="15.75" hidden="false" customHeight="true" outlineLevel="0" collapsed="false">
      <c r="G913" s="9"/>
    </row>
    <row r="914" customFormat="false" ht="15.75" hidden="false" customHeight="true" outlineLevel="0" collapsed="false">
      <c r="G914" s="9"/>
    </row>
    <row r="915" customFormat="false" ht="15.75" hidden="false" customHeight="true" outlineLevel="0" collapsed="false">
      <c r="G915" s="9"/>
    </row>
    <row r="916" customFormat="false" ht="15.75" hidden="false" customHeight="true" outlineLevel="0" collapsed="false">
      <c r="G916" s="9"/>
    </row>
    <row r="917" customFormat="false" ht="15.75" hidden="false" customHeight="true" outlineLevel="0" collapsed="false">
      <c r="G917" s="9"/>
    </row>
    <row r="918" customFormat="false" ht="15.75" hidden="false" customHeight="true" outlineLevel="0" collapsed="false">
      <c r="G918" s="9"/>
    </row>
    <row r="919" customFormat="false" ht="15.75" hidden="false" customHeight="true" outlineLevel="0" collapsed="false">
      <c r="G919" s="9"/>
    </row>
    <row r="920" customFormat="false" ht="15.75" hidden="false" customHeight="true" outlineLevel="0" collapsed="false">
      <c r="G920" s="9"/>
    </row>
    <row r="921" customFormat="false" ht="15.75" hidden="false" customHeight="true" outlineLevel="0" collapsed="false">
      <c r="G921" s="9"/>
    </row>
    <row r="922" customFormat="false" ht="15.75" hidden="false" customHeight="true" outlineLevel="0" collapsed="false">
      <c r="G922" s="9"/>
    </row>
    <row r="923" customFormat="false" ht="15.75" hidden="false" customHeight="true" outlineLevel="0" collapsed="false">
      <c r="G923" s="9"/>
    </row>
    <row r="924" customFormat="false" ht="15.75" hidden="false" customHeight="true" outlineLevel="0" collapsed="false">
      <c r="G924" s="9"/>
    </row>
    <row r="925" customFormat="false" ht="15.75" hidden="false" customHeight="true" outlineLevel="0" collapsed="false">
      <c r="G925" s="9"/>
    </row>
    <row r="926" customFormat="false" ht="15.75" hidden="false" customHeight="true" outlineLevel="0" collapsed="false">
      <c r="G926" s="9"/>
    </row>
    <row r="927" customFormat="false" ht="15.75" hidden="false" customHeight="true" outlineLevel="0" collapsed="false">
      <c r="G927" s="9"/>
    </row>
    <row r="928" customFormat="false" ht="15.75" hidden="false" customHeight="true" outlineLevel="0" collapsed="false">
      <c r="G928" s="9"/>
    </row>
    <row r="929" customFormat="false" ht="15.75" hidden="false" customHeight="true" outlineLevel="0" collapsed="false">
      <c r="G929" s="9"/>
    </row>
    <row r="930" customFormat="false" ht="15.75" hidden="false" customHeight="true" outlineLevel="0" collapsed="false">
      <c r="G930" s="9"/>
    </row>
    <row r="931" customFormat="false" ht="15.75" hidden="false" customHeight="true" outlineLevel="0" collapsed="false">
      <c r="G931" s="9"/>
    </row>
    <row r="932" customFormat="false" ht="15.75" hidden="false" customHeight="true" outlineLevel="0" collapsed="false">
      <c r="G932" s="9"/>
    </row>
    <row r="933" customFormat="false" ht="15.75" hidden="false" customHeight="true" outlineLevel="0" collapsed="false">
      <c r="G933" s="9"/>
    </row>
    <row r="934" customFormat="false" ht="15.75" hidden="false" customHeight="true" outlineLevel="0" collapsed="false">
      <c r="G934" s="9"/>
    </row>
    <row r="935" customFormat="false" ht="15.75" hidden="false" customHeight="true" outlineLevel="0" collapsed="false">
      <c r="G935" s="9"/>
    </row>
    <row r="936" customFormat="false" ht="15.75" hidden="false" customHeight="true" outlineLevel="0" collapsed="false">
      <c r="G936" s="9"/>
    </row>
    <row r="937" customFormat="false" ht="15.75" hidden="false" customHeight="true" outlineLevel="0" collapsed="false">
      <c r="G937" s="9"/>
    </row>
    <row r="938" customFormat="false" ht="15.75" hidden="false" customHeight="true" outlineLevel="0" collapsed="false">
      <c r="G938" s="9"/>
    </row>
    <row r="939" customFormat="false" ht="15.75" hidden="false" customHeight="true" outlineLevel="0" collapsed="false">
      <c r="G939" s="9"/>
    </row>
    <row r="940" customFormat="false" ht="15.75" hidden="false" customHeight="true" outlineLevel="0" collapsed="false">
      <c r="G940" s="9"/>
    </row>
    <row r="941" customFormat="false" ht="15.75" hidden="false" customHeight="true" outlineLevel="0" collapsed="false">
      <c r="G941" s="9"/>
    </row>
    <row r="942" customFormat="false" ht="15.75" hidden="false" customHeight="true" outlineLevel="0" collapsed="false">
      <c r="G942" s="9"/>
    </row>
    <row r="943" customFormat="false" ht="15.75" hidden="false" customHeight="true" outlineLevel="0" collapsed="false">
      <c r="G943" s="9"/>
    </row>
    <row r="944" customFormat="false" ht="15.75" hidden="false" customHeight="true" outlineLevel="0" collapsed="false">
      <c r="G944" s="9"/>
    </row>
    <row r="945" customFormat="false" ht="15.75" hidden="false" customHeight="true" outlineLevel="0" collapsed="false">
      <c r="G945" s="9"/>
    </row>
    <row r="946" customFormat="false" ht="15.75" hidden="false" customHeight="true" outlineLevel="0" collapsed="false">
      <c r="G946" s="9"/>
    </row>
    <row r="947" customFormat="false" ht="15.75" hidden="false" customHeight="true" outlineLevel="0" collapsed="false">
      <c r="G947" s="9"/>
    </row>
    <row r="948" customFormat="false" ht="15.75" hidden="false" customHeight="true" outlineLevel="0" collapsed="false">
      <c r="G948" s="9"/>
    </row>
    <row r="949" customFormat="false" ht="15.75" hidden="false" customHeight="true" outlineLevel="0" collapsed="false">
      <c r="G949" s="9"/>
    </row>
    <row r="950" customFormat="false" ht="15.75" hidden="false" customHeight="true" outlineLevel="0" collapsed="false">
      <c r="G950" s="9"/>
    </row>
    <row r="951" customFormat="false" ht="15.75" hidden="false" customHeight="true" outlineLevel="0" collapsed="false">
      <c r="G951" s="9"/>
    </row>
    <row r="952" customFormat="false" ht="15.75" hidden="false" customHeight="true" outlineLevel="0" collapsed="false">
      <c r="G952" s="9"/>
    </row>
    <row r="953" customFormat="false" ht="15.75" hidden="false" customHeight="true" outlineLevel="0" collapsed="false">
      <c r="G953" s="9"/>
    </row>
    <row r="954" customFormat="false" ht="15.75" hidden="false" customHeight="true" outlineLevel="0" collapsed="false">
      <c r="G954" s="9"/>
    </row>
    <row r="955" customFormat="false" ht="15.75" hidden="false" customHeight="true" outlineLevel="0" collapsed="false">
      <c r="G955" s="9"/>
    </row>
    <row r="956" customFormat="false" ht="15.75" hidden="false" customHeight="true" outlineLevel="0" collapsed="false">
      <c r="G956" s="9"/>
    </row>
    <row r="957" customFormat="false" ht="15.75" hidden="false" customHeight="true" outlineLevel="0" collapsed="false">
      <c r="G957" s="9"/>
    </row>
    <row r="958" customFormat="false" ht="15.75" hidden="false" customHeight="true" outlineLevel="0" collapsed="false">
      <c r="G958" s="9"/>
    </row>
    <row r="959" customFormat="false" ht="15.75" hidden="false" customHeight="true" outlineLevel="0" collapsed="false">
      <c r="G959" s="9"/>
    </row>
    <row r="960" customFormat="false" ht="15.75" hidden="false" customHeight="true" outlineLevel="0" collapsed="false">
      <c r="G960" s="9"/>
    </row>
    <row r="961" customFormat="false" ht="15.75" hidden="false" customHeight="true" outlineLevel="0" collapsed="false">
      <c r="G961" s="9"/>
    </row>
    <row r="962" customFormat="false" ht="15.75" hidden="false" customHeight="true" outlineLevel="0" collapsed="false">
      <c r="G962" s="9"/>
    </row>
    <row r="963" customFormat="false" ht="15.75" hidden="false" customHeight="true" outlineLevel="0" collapsed="false">
      <c r="G963" s="9"/>
    </row>
    <row r="964" customFormat="false" ht="15.75" hidden="false" customHeight="true" outlineLevel="0" collapsed="false">
      <c r="G964" s="9"/>
    </row>
    <row r="965" customFormat="false" ht="15.75" hidden="false" customHeight="true" outlineLevel="0" collapsed="false">
      <c r="G965" s="9"/>
    </row>
    <row r="966" customFormat="false" ht="15.75" hidden="false" customHeight="true" outlineLevel="0" collapsed="false">
      <c r="G966" s="9"/>
    </row>
    <row r="967" customFormat="false" ht="15.75" hidden="false" customHeight="true" outlineLevel="0" collapsed="false">
      <c r="G967" s="9"/>
    </row>
    <row r="968" customFormat="false" ht="15.75" hidden="false" customHeight="true" outlineLevel="0" collapsed="false">
      <c r="G968" s="9"/>
    </row>
    <row r="969" customFormat="false" ht="15.75" hidden="false" customHeight="true" outlineLevel="0" collapsed="false">
      <c r="G969" s="9"/>
    </row>
    <row r="970" customFormat="false" ht="15.75" hidden="false" customHeight="true" outlineLevel="0" collapsed="false">
      <c r="G970" s="9"/>
    </row>
    <row r="971" customFormat="false" ht="15.75" hidden="false" customHeight="true" outlineLevel="0" collapsed="false">
      <c r="G971" s="9"/>
    </row>
    <row r="972" customFormat="false" ht="15.75" hidden="false" customHeight="true" outlineLevel="0" collapsed="false">
      <c r="G972" s="9"/>
    </row>
    <row r="973" customFormat="false" ht="15.75" hidden="false" customHeight="true" outlineLevel="0" collapsed="false">
      <c r="G973" s="9"/>
    </row>
    <row r="974" customFormat="false" ht="15.75" hidden="false" customHeight="true" outlineLevel="0" collapsed="false">
      <c r="G974" s="9"/>
    </row>
    <row r="975" customFormat="false" ht="15.75" hidden="false" customHeight="true" outlineLevel="0" collapsed="false">
      <c r="G975" s="9"/>
    </row>
    <row r="976" customFormat="false" ht="15.75" hidden="false" customHeight="true" outlineLevel="0" collapsed="false">
      <c r="G976" s="9"/>
    </row>
    <row r="977" customFormat="false" ht="15.75" hidden="false" customHeight="true" outlineLevel="0" collapsed="false">
      <c r="G977" s="9"/>
    </row>
    <row r="978" customFormat="false" ht="15.75" hidden="false" customHeight="true" outlineLevel="0" collapsed="false">
      <c r="G978" s="9"/>
    </row>
    <row r="979" customFormat="false" ht="15.75" hidden="false" customHeight="true" outlineLevel="0" collapsed="false">
      <c r="G979" s="9"/>
    </row>
    <row r="980" customFormat="false" ht="15.75" hidden="false" customHeight="true" outlineLevel="0" collapsed="false">
      <c r="G980" s="9"/>
    </row>
    <row r="981" customFormat="false" ht="15.75" hidden="false" customHeight="true" outlineLevel="0" collapsed="false">
      <c r="G981" s="9"/>
    </row>
    <row r="982" customFormat="false" ht="15.75" hidden="false" customHeight="true" outlineLevel="0" collapsed="false">
      <c r="G982" s="9"/>
    </row>
    <row r="983" customFormat="false" ht="15.75" hidden="false" customHeight="true" outlineLevel="0" collapsed="false">
      <c r="G983" s="9"/>
    </row>
    <row r="984" customFormat="false" ht="15.75" hidden="false" customHeight="true" outlineLevel="0" collapsed="false">
      <c r="G984" s="9"/>
    </row>
    <row r="985" customFormat="false" ht="15.75" hidden="false" customHeight="true" outlineLevel="0" collapsed="false">
      <c r="G985" s="9"/>
    </row>
    <row r="986" customFormat="false" ht="15.75" hidden="false" customHeight="true" outlineLevel="0" collapsed="false">
      <c r="G986" s="9"/>
    </row>
    <row r="987" customFormat="false" ht="15.75" hidden="false" customHeight="true" outlineLevel="0" collapsed="false">
      <c r="G987" s="9"/>
    </row>
    <row r="988" customFormat="false" ht="15.75" hidden="false" customHeight="true" outlineLevel="0" collapsed="false">
      <c r="G988" s="9"/>
    </row>
    <row r="989" customFormat="false" ht="15.75" hidden="false" customHeight="true" outlineLevel="0" collapsed="false">
      <c r="G989" s="9"/>
    </row>
    <row r="990" customFormat="false" ht="15.75" hidden="false" customHeight="true" outlineLevel="0" collapsed="false">
      <c r="G990" s="9"/>
    </row>
    <row r="991" customFormat="false" ht="15.75" hidden="false" customHeight="true" outlineLevel="0" collapsed="false">
      <c r="G991" s="9"/>
    </row>
    <row r="992" customFormat="false" ht="15.75" hidden="false" customHeight="true" outlineLevel="0" collapsed="false">
      <c r="G992" s="9"/>
    </row>
    <row r="993" customFormat="false" ht="15.75" hidden="false" customHeight="true" outlineLevel="0" collapsed="false">
      <c r="G993" s="9"/>
    </row>
    <row r="994" customFormat="false" ht="15.75" hidden="false" customHeight="true" outlineLevel="0" collapsed="false">
      <c r="G994" s="9"/>
    </row>
    <row r="995" customFormat="false" ht="15.75" hidden="false" customHeight="true" outlineLevel="0" collapsed="false">
      <c r="G995" s="9"/>
    </row>
    <row r="996" customFormat="false" ht="15.75" hidden="false" customHeight="true" outlineLevel="0" collapsed="false">
      <c r="G996" s="9"/>
    </row>
    <row r="997" customFormat="false" ht="15.75" hidden="false" customHeight="true" outlineLevel="0" collapsed="false">
      <c r="G997" s="9"/>
    </row>
    <row r="998" customFormat="false" ht="15.75" hidden="false" customHeight="true" outlineLevel="0" collapsed="false">
      <c r="G998" s="9"/>
    </row>
    <row r="999" customFormat="false" ht="15.75" hidden="false" customHeight="true" outlineLevel="0" collapsed="false">
      <c r="G999" s="9"/>
    </row>
    <row r="1000" customFormat="false" ht="15.75" hidden="false" customHeight="true" outlineLevel="0" collapsed="false">
      <c r="G1000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ColWidth="13.2734375" defaultRowHeight="12.75" zeroHeight="false" outlineLevelRow="0" outlineLevelCol="0"/>
  <cols>
    <col collapsed="false" customWidth="true" hidden="false" outlineLevel="0" max="1" min="1" style="1" width="21.26"/>
    <col collapsed="false" customWidth="true" hidden="false" outlineLevel="0" max="2" min="2" style="1" width="9.51"/>
    <col collapsed="false" customWidth="true" hidden="false" outlineLevel="0" max="14" min="3" style="1" width="10.19"/>
    <col collapsed="false" customWidth="true" hidden="false" outlineLevel="0" max="15" min="15" style="1" width="9.51"/>
    <col collapsed="false" customWidth="true" hidden="false" outlineLevel="0" max="16" min="16" style="1" width="12.75"/>
    <col collapsed="false" customWidth="true" hidden="false" outlineLevel="0" max="1024" min="999" style="1" width="11.52"/>
  </cols>
  <sheetData>
    <row r="1" s="10" customFormat="true" ht="15" hidden="false" customHeight="true" outlineLevel="0" collapsed="false">
      <c r="B1" s="11"/>
      <c r="C1" s="11"/>
      <c r="E1" s="11"/>
      <c r="F1" s="11"/>
      <c r="H1" s="11"/>
      <c r="I1" s="11"/>
      <c r="K1" s="11"/>
      <c r="L1" s="11"/>
      <c r="N1" s="11"/>
      <c r="O1" s="1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6" s="10" customFormat="true" ht="12.75" hidden="false" customHeight="true" outlineLevel="0" collapsed="false"/>
    <row r="17" s="4" customFormat="tru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s="10" customFormat="true" ht="15" hidden="false" customHeight="true" outlineLevel="0" collapsed="false"/>
    <row r="46" customFormat="false" ht="1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5">
    <mergeCell ref="B1:C1"/>
    <mergeCell ref="E1:F1"/>
    <mergeCell ref="H1:I1"/>
    <mergeCell ref="K1:L1"/>
    <mergeCell ref="N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42" activeCellId="0" sqref="Q42"/>
    </sheetView>
  </sheetViews>
  <sheetFormatPr defaultColWidth="13.2734375" defaultRowHeight="12.75" zeroHeight="false" outlineLevelRow="0" outlineLevelCol="0"/>
  <cols>
    <col collapsed="false" customWidth="true" hidden="false" outlineLevel="0" max="1" min="1" style="1" width="21.26"/>
    <col collapsed="false" customWidth="true" hidden="false" outlineLevel="0" max="2" min="2" style="1" width="9.51"/>
    <col collapsed="false" customWidth="true" hidden="false" outlineLevel="0" max="14" min="3" style="1" width="10.19"/>
    <col collapsed="false" customWidth="true" hidden="false" outlineLevel="0" max="15" min="15" style="1" width="9.51"/>
    <col collapsed="false" customWidth="true" hidden="false" outlineLevel="0" max="16" min="16" style="1" width="12.75"/>
    <col collapsed="false" customWidth="true" hidden="false" outlineLevel="0" max="1024" min="999" style="1" width="11.52"/>
  </cols>
  <sheetData>
    <row r="1" s="10" customFormat="true" ht="15" hidden="false" customHeight="true" outlineLevel="0" collapsed="false">
      <c r="B1" s="11"/>
      <c r="C1" s="11"/>
      <c r="E1" s="11"/>
      <c r="F1" s="11"/>
      <c r="H1" s="11"/>
      <c r="I1" s="11"/>
      <c r="K1" s="11"/>
      <c r="L1" s="11"/>
      <c r="N1" s="11"/>
      <c r="O1" s="1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6" s="10" customFormat="true" ht="16.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</row>
    <row r="17" s="14" customFormat="true" ht="16.5" hidden="false" customHeight="true" outlineLevel="0" collapsed="false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</row>
    <row r="18" customFormat="false" ht="16.5" hidden="false" customHeight="true" outlineLevel="0" collapsed="false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</row>
    <row r="19" customFormat="false" ht="16.5" hidden="false" customHeight="true" outlineLevel="0" collapsed="false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customFormat="false" ht="16.5" hidden="false" customHeight="true" outlineLevel="0" collapsed="false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</row>
    <row r="21" customFormat="false" ht="16.5" hidden="false" customHeight="true" outlineLevel="0" collapsed="false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customFormat="false" ht="16.5" hidden="false" customHeight="tru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</row>
    <row r="23" customFormat="false" ht="16.5" hidden="false" customHeight="true" outlineLevel="0" collapsed="false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customFormat="false" ht="16.5" hidden="false" customHeight="tru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</row>
    <row r="25" customFormat="false" ht="16.5" hidden="false" customHeight="true" outlineLevel="0" collapsed="false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customFormat="false" ht="16.5" hidden="false" customHeight="tru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</row>
    <row r="27" customFormat="false" ht="16.5" hidden="false" customHeight="true" outlineLevel="0" collapsed="false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 customFormat="false" ht="16.5" hidden="false" customHeight="tru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</row>
    <row r="29" customFormat="false" ht="16.5" hidden="false" customHeight="true" outlineLevel="0" collapsed="false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customFormat="false" ht="16.5" hidden="false" customHeight="tru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</row>
    <row r="31" customFormat="false" ht="16.5" hidden="false" customHeight="true" outlineLevel="0" collapsed="false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customFormat="false" ht="16.5" hidden="false" customHeight="tru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</row>
    <row r="33" customFormat="false" ht="16.5" hidden="false" customHeight="true" outlineLevel="0" collapsed="false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 customFormat="false" ht="16.5" hidden="false" customHeight="tru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</row>
    <row r="35" customFormat="false" ht="16.5" hidden="false" customHeight="true" outlineLevel="0" collapsed="false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customFormat="false" ht="16.5" hidden="false" customHeight="tru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</row>
    <row r="37" customFormat="false" ht="16.5" hidden="false" customHeight="true" outlineLevel="0" collapsed="false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customFormat="false" ht="16.5" hidden="false" customHeight="tru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</row>
    <row r="39" customFormat="false" ht="16.5" hidden="false" customHeight="true" outlineLevel="0" collapsed="false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 customFormat="false" ht="16.5" hidden="false" customHeight="tru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</row>
    <row r="41" customFormat="false" ht="16.5" hidden="false" customHeight="true" outlineLevel="0" collapsed="false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 customFormat="false" ht="16.5" hidden="false" customHeight="true" outlineLevel="0" collapsed="false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</row>
    <row r="43" customFormat="false" ht="16.5" hidden="false" customHeight="true" outlineLevel="0" collapsed="false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 customFormat="false" ht="16.5" hidden="false" customHeight="true" outlineLevel="0" collapsed="false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</row>
    <row r="45" s="10" customFormat="true" ht="15" hidden="false" customHeight="true" outlineLevel="0" collapsed="false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</row>
    <row r="46" customFormat="false" ht="1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5">
    <mergeCell ref="B1:C1"/>
    <mergeCell ref="E1:F1"/>
    <mergeCell ref="H1:I1"/>
    <mergeCell ref="K1:L1"/>
    <mergeCell ref="N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J20" activeCellId="0" sqref="J20"/>
    </sheetView>
  </sheetViews>
  <sheetFormatPr defaultColWidth="13.2734375" defaultRowHeight="12.75" zeroHeight="false" outlineLevelRow="0" outlineLevelCol="0"/>
  <cols>
    <col collapsed="false" customWidth="true" hidden="false" outlineLevel="0" max="1" min="1" style="1" width="19.63"/>
    <col collapsed="false" customWidth="true" hidden="false" outlineLevel="0" max="2" min="2" style="1" width="11.5"/>
    <col collapsed="false" customWidth="true" hidden="false" outlineLevel="0" max="3" min="3" style="9" width="11.5"/>
    <col collapsed="false" customWidth="true" hidden="true" outlineLevel="0" max="4" min="4" style="1" width="11.5"/>
    <col collapsed="false" customWidth="true" hidden="false" outlineLevel="0" max="5" min="5" style="1" width="1.39"/>
    <col collapsed="false" customWidth="true" hidden="true" outlineLevel="0" max="6" min="6" style="1" width="11.5"/>
    <col collapsed="false" customWidth="true" hidden="false" outlineLevel="0" max="7" min="7" style="9" width="11.5"/>
    <col collapsed="false" customWidth="true" hidden="false" outlineLevel="0" max="8" min="8" style="1" width="11.5"/>
    <col collapsed="false" customWidth="true" hidden="false" outlineLevel="0" max="9" min="9" style="1" width="19.63"/>
    <col collapsed="false" customWidth="true" hidden="false" outlineLevel="0" max="26" min="10" style="1" width="11.5"/>
  </cols>
  <sheetData>
    <row r="1" s="3" customFormat="true" ht="12.75" hidden="false" customHeight="true" outlineLevel="0" collapsed="false"/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 ffffff&amp;A</oddHeader>
    <oddFooter>&amp;C 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11.94140625" defaultRowHeight="12.75" zeroHeight="false" outlineLevelRow="0" outlineLevelCol="0"/>
  <cols>
    <col collapsed="false" customWidth="true" hidden="false" outlineLevel="0" max="1" min="1" style="9" width="11.58"/>
    <col collapsed="false" customWidth="true" hidden="false" outlineLevel="0" max="2" min="2" style="1" width="22.62"/>
    <col collapsed="false" customWidth="true" hidden="false" outlineLevel="0" max="4" min="4" style="9" width="11.52"/>
    <col collapsed="false" customWidth="true" hidden="false" outlineLevel="0" max="11" min="5" style="9" width="11.84"/>
    <col collapsed="false" customWidth="true" hidden="false" outlineLevel="0" max="1024" min="1022" style="1" width="11.52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9" t="s">
        <v>66</v>
      </c>
      <c r="C2" s="1"/>
    </row>
    <row r="3" customFormat="false" ht="12.75" hidden="false" customHeight="true" outlineLevel="0" collapsed="false">
      <c r="A3" s="9" t="s">
        <v>67</v>
      </c>
      <c r="C3" s="1"/>
    </row>
    <row r="4" customFormat="false" ht="12.75" hidden="false" customHeight="true" outlineLevel="0" collapsed="false">
      <c r="A4" s="9" t="s">
        <v>68</v>
      </c>
      <c r="C4" s="1"/>
    </row>
    <row r="5" customFormat="false" ht="12.75" hidden="false" customHeight="true" outlineLevel="0" collapsed="false">
      <c r="A5" s="9" t="s">
        <v>69</v>
      </c>
      <c r="C5" s="1"/>
    </row>
    <row r="6" customFormat="false" ht="12.75" hidden="false" customHeight="true" outlineLevel="0" collapsed="false">
      <c r="A6" s="9" t="s">
        <v>70</v>
      </c>
      <c r="C6" s="1"/>
    </row>
    <row r="8" customFormat="false" ht="12.75" hidden="false" customHeight="true" outlineLevel="0" collapsed="false"/>
    <row r="9" customFormat="false" ht="12.75" hidden="false" customHeight="true" outlineLevel="0" collapsed="false">
      <c r="A9" s="9" t="s">
        <v>71</v>
      </c>
      <c r="C9" s="1"/>
    </row>
    <row r="10" customFormat="false" ht="12.75" hidden="false" customHeight="true" outlineLevel="0" collapsed="false">
      <c r="A10" s="9" t="s">
        <v>72</v>
      </c>
      <c r="C10" s="1"/>
    </row>
    <row r="11" customFormat="false" ht="12.75" hidden="false" customHeight="true" outlineLevel="0" collapsed="false">
      <c r="A11" s="9" t="s">
        <v>73</v>
      </c>
      <c r="C11" s="1"/>
    </row>
    <row r="12" customFormat="false" ht="12.75" hidden="false" customHeight="true" outlineLevel="0" collapsed="false">
      <c r="A12" s="9" t="s">
        <v>74</v>
      </c>
      <c r="C12" s="1"/>
    </row>
    <row r="13" customFormat="false" ht="12.75" hidden="false" customHeight="true" outlineLevel="0" collapsed="false">
      <c r="A13" s="9" t="s">
        <v>75</v>
      </c>
      <c r="C13" s="1"/>
    </row>
    <row r="15" customFormat="false" ht="12.75" hidden="false" customHeight="true" outlineLevel="0" collapsed="false"/>
    <row r="16" customFormat="false" ht="12.75" hidden="false" customHeight="true" outlineLevel="0" collapsed="false">
      <c r="A16" s="9" t="s">
        <v>76</v>
      </c>
      <c r="C16" s="1"/>
    </row>
    <row r="17" customFormat="false" ht="12.75" hidden="false" customHeight="true" outlineLevel="0" collapsed="false">
      <c r="A17" s="9" t="s">
        <v>77</v>
      </c>
      <c r="C17" s="1"/>
    </row>
    <row r="18" customFormat="false" ht="12.75" hidden="false" customHeight="true" outlineLevel="0" collapsed="false">
      <c r="A18" s="9" t="s">
        <v>78</v>
      </c>
      <c r="C18" s="1"/>
    </row>
    <row r="19" customFormat="false" ht="12.75" hidden="false" customHeight="true" outlineLevel="0" collapsed="false">
      <c r="A19" s="9" t="s">
        <v>79</v>
      </c>
      <c r="C19" s="1"/>
    </row>
    <row r="20" customFormat="false" ht="12.75" hidden="false" customHeight="true" outlineLevel="0" collapsed="false">
      <c r="A20" s="9" t="s">
        <v>80</v>
      </c>
      <c r="C20" s="1"/>
    </row>
    <row r="22" customFormat="false" ht="12.75" hidden="false" customHeight="true" outlineLevel="0" collapsed="false"/>
    <row r="23" customFormat="false" ht="12.75" hidden="false" customHeight="true" outlineLevel="0" collapsed="false">
      <c r="A23" s="9" t="s">
        <v>81</v>
      </c>
      <c r="C23" s="1"/>
    </row>
    <row r="24" customFormat="false" ht="12.75" hidden="false" customHeight="true" outlineLevel="0" collapsed="false">
      <c r="A24" s="9" t="s">
        <v>82</v>
      </c>
      <c r="C24" s="1"/>
    </row>
    <row r="25" customFormat="false" ht="12.75" hidden="false" customHeight="true" outlineLevel="0" collapsed="false">
      <c r="A25" s="9" t="s">
        <v>83</v>
      </c>
      <c r="C25" s="1"/>
    </row>
    <row r="26" customFormat="false" ht="12.75" hidden="false" customHeight="true" outlineLevel="0" collapsed="false">
      <c r="A26" s="9" t="s">
        <v>84</v>
      </c>
      <c r="C26" s="1"/>
    </row>
    <row r="27" customFormat="false" ht="12.75" hidden="false" customHeight="true" outlineLevel="0" collapsed="false">
      <c r="A27" s="9" t="s">
        <v>85</v>
      </c>
      <c r="C27" s="1"/>
    </row>
    <row r="28" customFormat="false" ht="12.75" hidden="false" customHeight="true" outlineLevel="0" collapsed="false"/>
    <row r="29" customFormat="false" ht="12.75" hidden="false" customHeight="true" outlineLevel="0" collapsed="false">
      <c r="C29" s="1"/>
    </row>
    <row r="30" customFormat="false" ht="12.75" hidden="false" customHeight="true" outlineLevel="0" collapsed="false">
      <c r="A30" s="9" t="s">
        <v>86</v>
      </c>
      <c r="C30" s="1"/>
    </row>
    <row r="31" customFormat="false" ht="12.75" hidden="false" customHeight="true" outlineLevel="0" collapsed="false">
      <c r="A31" s="9" t="s">
        <v>87</v>
      </c>
      <c r="C31" s="1"/>
    </row>
    <row r="32" customFormat="false" ht="12.75" hidden="false" customHeight="true" outlineLevel="0" collapsed="false">
      <c r="A32" s="9" t="s">
        <v>88</v>
      </c>
      <c r="C32" s="1"/>
    </row>
    <row r="33" customFormat="false" ht="12.75" hidden="false" customHeight="true" outlineLevel="0" collapsed="false">
      <c r="A33" s="9" t="s">
        <v>89</v>
      </c>
      <c r="C33" s="1"/>
    </row>
    <row r="34" customFormat="false" ht="12.75" hidden="false" customHeight="true" outlineLevel="0" collapsed="false"/>
    <row r="35" customFormat="false" ht="12.75" hidden="false" customHeight="true" outlineLevel="0" collapsed="false">
      <c r="C35" s="1"/>
    </row>
    <row r="36" customFormat="false" ht="12.75" hidden="false" customHeight="true" outlineLevel="0" collapsed="false">
      <c r="A36" s="9" t="s">
        <v>90</v>
      </c>
      <c r="C36" s="1"/>
    </row>
    <row r="37" customFormat="false" ht="12.75" hidden="false" customHeight="true" outlineLevel="0" collapsed="false">
      <c r="A37" s="9" t="s">
        <v>91</v>
      </c>
      <c r="C37" s="1"/>
    </row>
    <row r="38" customFormat="false" ht="12.75" hidden="false" customHeight="true" outlineLevel="0" collapsed="false">
      <c r="A38" s="9" t="s">
        <v>92</v>
      </c>
      <c r="C38" s="1"/>
    </row>
    <row r="39" customFormat="false" ht="12.75" hidden="false" customHeight="true" outlineLevel="0" collapsed="false">
      <c r="A39" s="9" t="s">
        <v>93</v>
      </c>
      <c r="C3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6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J65" activeCellId="0" sqref="J65"/>
    </sheetView>
  </sheetViews>
  <sheetFormatPr defaultColWidth="11.94140625" defaultRowHeight="12.75" zeroHeight="false" outlineLevelRow="0" outlineLevelCol="0"/>
  <cols>
    <col collapsed="false" customWidth="true" hidden="false" outlineLevel="0" max="1" min="1" style="3" width="11.69"/>
    <col collapsed="false" customWidth="true" hidden="false" outlineLevel="0" max="2" min="2" style="1" width="25.52"/>
    <col collapsed="false" customWidth="true" hidden="false" outlineLevel="0" max="3" min="3" style="1" width="5.1"/>
    <col collapsed="false" customWidth="true" hidden="false" outlineLevel="0" max="6" min="4" style="9" width="5.1"/>
    <col collapsed="false" customWidth="true" hidden="false" outlineLevel="0" max="9" min="9" style="1" width="25.52"/>
    <col collapsed="false" customWidth="true" hidden="false" outlineLevel="0" max="10" min="10" style="1" width="5.1"/>
    <col collapsed="false" customWidth="true" hidden="false" outlineLevel="0" max="13" min="11" style="9" width="5.1"/>
    <col collapsed="false" customWidth="true" hidden="false" outlineLevel="0" max="16" min="16" style="1" width="25.52"/>
    <col collapsed="false" customWidth="true" hidden="false" outlineLevel="0" max="17" min="17" style="1" width="5.1"/>
    <col collapsed="false" customWidth="true" hidden="false" outlineLevel="0" max="20" min="18" style="9" width="5.1"/>
  </cols>
  <sheetData>
    <row r="1" customFormat="false" ht="12.75" hidden="false" customHeight="true" outlineLevel="0" collapsed="false">
      <c r="A1" s="17" t="s">
        <v>94</v>
      </c>
      <c r="B1" s="18"/>
      <c r="C1" s="18"/>
      <c r="D1" s="19"/>
      <c r="E1" s="19"/>
      <c r="F1" s="19"/>
      <c r="G1" s="18"/>
      <c r="H1" s="18"/>
      <c r="I1" s="18"/>
      <c r="J1" s="18"/>
      <c r="K1" s="19"/>
      <c r="L1" s="19"/>
      <c r="M1" s="19"/>
      <c r="N1" s="18"/>
      <c r="O1" s="18"/>
      <c r="P1" s="18"/>
      <c r="Q1" s="18"/>
      <c r="R1" s="19"/>
      <c r="S1" s="19"/>
      <c r="T1" s="20"/>
    </row>
    <row r="2" customFormat="false" ht="13.5" hidden="false" customHeight="true" outlineLevel="0" collapsed="false">
      <c r="A2" s="17"/>
      <c r="B2" s="21" t="n">
        <f aca="false">VLOOKUP("a1", quali_results!$A$1:$C$40,2,0)</f>
        <v>0</v>
      </c>
      <c r="C2" s="21" t="n">
        <f aca="false">VLOOKUP("a1", quali_results!$A$1:$C$40,3,0)</f>
        <v>0</v>
      </c>
      <c r="D2" s="22"/>
      <c r="E2" s="22"/>
      <c r="F2" s="22"/>
      <c r="G2" s="5"/>
      <c r="H2" s="5"/>
      <c r="I2" s="5"/>
      <c r="J2" s="5"/>
      <c r="K2" s="6"/>
      <c r="L2" s="6"/>
      <c r="M2" s="6"/>
      <c r="T2" s="23"/>
    </row>
    <row r="3" customFormat="false" ht="13.5" hidden="false" customHeight="true" outlineLevel="0" collapsed="false">
      <c r="A3" s="17"/>
      <c r="B3" s="24" t="n">
        <f aca="false">VLOOKUP("c2", quali_results!$A$1:$C$40,2,0)</f>
        <v>0</v>
      </c>
      <c r="C3" s="24" t="n">
        <f aca="false">VLOOKUP("c2", quali_results!$A$1:$C$40,3,0)</f>
        <v>0</v>
      </c>
      <c r="D3" s="25"/>
      <c r="E3" s="25"/>
      <c r="F3" s="25"/>
      <c r="G3" s="26"/>
      <c r="H3" s="5"/>
      <c r="I3" s="5"/>
      <c r="J3" s="5"/>
      <c r="K3" s="6"/>
      <c r="L3" s="6"/>
      <c r="M3" s="6"/>
      <c r="T3" s="23"/>
    </row>
    <row r="4" customFormat="false" ht="13.5" hidden="false" customHeight="true" outlineLevel="0" collapsed="false">
      <c r="A4" s="17"/>
      <c r="B4" s="5"/>
      <c r="C4" s="5"/>
      <c r="D4" s="6"/>
      <c r="E4" s="6"/>
      <c r="F4" s="6"/>
      <c r="G4" s="27"/>
      <c r="H4" s="28"/>
      <c r="I4" s="21"/>
      <c r="J4" s="21"/>
      <c r="K4" s="22"/>
      <c r="L4" s="22"/>
      <c r="M4" s="22"/>
      <c r="N4" s="28"/>
      <c r="T4" s="23"/>
    </row>
    <row r="5" customFormat="false" ht="13.5" hidden="false" customHeight="true" outlineLevel="0" collapsed="false">
      <c r="A5" s="17"/>
      <c r="B5" s="5"/>
      <c r="C5" s="5"/>
      <c r="D5" s="6"/>
      <c r="E5" s="6"/>
      <c r="F5" s="6"/>
      <c r="G5" s="27"/>
      <c r="H5" s="5"/>
      <c r="I5" s="24"/>
      <c r="J5" s="24"/>
      <c r="K5" s="25"/>
      <c r="L5" s="25"/>
      <c r="M5" s="25"/>
      <c r="N5" s="27"/>
      <c r="T5" s="23"/>
    </row>
    <row r="6" customFormat="false" ht="13.5" hidden="false" customHeight="true" outlineLevel="0" collapsed="false">
      <c r="A6" s="17"/>
      <c r="B6" s="21" t="n">
        <f aca="false">VLOOKUP("a2", quali_results!$A$1:$C$40,2,0)</f>
        <v>0</v>
      </c>
      <c r="C6" s="21" t="n">
        <f aca="false">VLOOKUP("a2", quali_results!$A$1:$C$40,3,0)</f>
        <v>0</v>
      </c>
      <c r="D6" s="22"/>
      <c r="E6" s="22"/>
      <c r="F6" s="22"/>
      <c r="G6" s="29"/>
      <c r="H6" s="5"/>
      <c r="I6" s="5"/>
      <c r="J6" s="5"/>
      <c r="K6" s="6"/>
      <c r="L6" s="6"/>
      <c r="M6" s="6"/>
      <c r="N6" s="27"/>
      <c r="P6" s="5"/>
      <c r="Q6" s="5"/>
      <c r="R6" s="6"/>
      <c r="S6" s="6"/>
      <c r="T6" s="30"/>
    </row>
    <row r="7" customFormat="false" ht="13.5" hidden="false" customHeight="true" outlineLevel="0" collapsed="false">
      <c r="A7" s="17"/>
      <c r="B7" s="24" t="n">
        <f aca="false">VLOOKUP("c1", quali_results!$A$1:$C$40,2,0)</f>
        <v>0</v>
      </c>
      <c r="C7" s="24" t="n">
        <f aca="false">VLOOKUP("c1", quali_results!$A$1:$C$40,3,0)</f>
        <v>0</v>
      </c>
      <c r="D7" s="25"/>
      <c r="E7" s="25"/>
      <c r="F7" s="25"/>
      <c r="G7" s="5"/>
      <c r="H7" s="5"/>
      <c r="I7" s="5"/>
      <c r="J7" s="5"/>
      <c r="K7" s="6"/>
      <c r="L7" s="6"/>
      <c r="M7" s="6"/>
      <c r="N7" s="27"/>
      <c r="O7" s="28"/>
      <c r="P7" s="21"/>
      <c r="Q7" s="21"/>
      <c r="R7" s="22"/>
      <c r="S7" s="22"/>
      <c r="T7" s="22"/>
    </row>
    <row r="8" customFormat="false" ht="13.5" hidden="false" customHeight="true" outlineLevel="0" collapsed="false">
      <c r="A8" s="17"/>
      <c r="N8" s="27"/>
      <c r="P8" s="24"/>
      <c r="Q8" s="24"/>
      <c r="R8" s="25"/>
      <c r="S8" s="25"/>
      <c r="T8" s="25"/>
    </row>
    <row r="9" customFormat="false" ht="13.5" hidden="false" customHeight="true" outlineLevel="0" collapsed="false">
      <c r="A9" s="17"/>
      <c r="N9" s="27"/>
      <c r="P9" s="5"/>
      <c r="Q9" s="5"/>
      <c r="R9" s="6"/>
      <c r="S9" s="6"/>
      <c r="T9" s="30"/>
    </row>
    <row r="10" customFormat="false" ht="13.5" hidden="false" customHeight="true" outlineLevel="0" collapsed="false">
      <c r="A10" s="17"/>
      <c r="B10" s="21" t="n">
        <f aca="false">VLOOKUP("b1", quali_results!$A$1:$C$40,2,0)</f>
        <v>0</v>
      </c>
      <c r="C10" s="21" t="n">
        <f aca="false">VLOOKUP("b1", quali_results!$A$1:$C$40,3,0)</f>
        <v>0</v>
      </c>
      <c r="D10" s="22"/>
      <c r="E10" s="22"/>
      <c r="F10" s="22"/>
      <c r="G10" s="5"/>
      <c r="H10" s="5"/>
      <c r="I10" s="5"/>
      <c r="J10" s="5"/>
      <c r="K10" s="6"/>
      <c r="L10" s="6"/>
      <c r="M10" s="6"/>
      <c r="N10" s="27"/>
      <c r="O10" s="28"/>
      <c r="P10" s="21"/>
      <c r="Q10" s="21"/>
      <c r="R10" s="22"/>
      <c r="S10" s="22"/>
      <c r="T10" s="22"/>
    </row>
    <row r="11" customFormat="false" ht="13.5" hidden="false" customHeight="true" outlineLevel="0" collapsed="false">
      <c r="A11" s="17"/>
      <c r="B11" s="21" t="n">
        <f aca="false">VLOOKUP("d2", quali_results!$A$1:$C$40,2,0)</f>
        <v>0</v>
      </c>
      <c r="C11" s="21" t="n">
        <f aca="false">VLOOKUP("d2", quali_results!$A$1:$C$40,3,0)</f>
        <v>0</v>
      </c>
      <c r="D11" s="25"/>
      <c r="E11" s="25"/>
      <c r="F11" s="25"/>
      <c r="G11" s="26"/>
      <c r="H11" s="5"/>
      <c r="I11" s="5"/>
      <c r="J11" s="5"/>
      <c r="K11" s="6"/>
      <c r="L11" s="6"/>
      <c r="M11" s="6"/>
      <c r="N11" s="27"/>
      <c r="P11" s="24"/>
      <c r="Q11" s="24"/>
      <c r="R11" s="25"/>
      <c r="S11" s="25"/>
      <c r="T11" s="25"/>
    </row>
    <row r="12" customFormat="false" ht="13.5" hidden="false" customHeight="true" outlineLevel="0" collapsed="false">
      <c r="A12" s="17"/>
      <c r="B12" s="5"/>
      <c r="C12" s="5"/>
      <c r="D12" s="6"/>
      <c r="E12" s="6"/>
      <c r="F12" s="6"/>
      <c r="G12" s="27"/>
      <c r="H12" s="28"/>
      <c r="I12" s="21"/>
      <c r="J12" s="21"/>
      <c r="K12" s="22"/>
      <c r="L12" s="22"/>
      <c r="M12" s="22"/>
      <c r="N12" s="29"/>
      <c r="P12" s="5"/>
      <c r="Q12" s="5"/>
      <c r="R12" s="6"/>
      <c r="S12" s="6"/>
      <c r="T12" s="30"/>
    </row>
    <row r="13" customFormat="false" ht="13.5" hidden="false" customHeight="true" outlineLevel="0" collapsed="false">
      <c r="A13" s="17"/>
      <c r="B13" s="5"/>
      <c r="C13" s="5"/>
      <c r="D13" s="6"/>
      <c r="E13" s="6"/>
      <c r="F13" s="6"/>
      <c r="G13" s="27"/>
      <c r="H13" s="5"/>
      <c r="I13" s="24"/>
      <c r="J13" s="24"/>
      <c r="K13" s="25"/>
      <c r="L13" s="25"/>
      <c r="M13" s="25"/>
      <c r="T13" s="23"/>
    </row>
    <row r="14" customFormat="false" ht="13.5" hidden="false" customHeight="true" outlineLevel="0" collapsed="false">
      <c r="A14" s="17"/>
      <c r="B14" s="21" t="n">
        <f aca="false">VLOOKUP("b2", quali_results!$A$1:$C$40,2,0)</f>
        <v>0</v>
      </c>
      <c r="C14" s="21" t="n">
        <f aca="false">VLOOKUP("b2", quali_results!$A$1:$C$40,3,0)</f>
        <v>0</v>
      </c>
      <c r="D14" s="22"/>
      <c r="E14" s="22"/>
      <c r="F14" s="22"/>
      <c r="G14" s="29"/>
      <c r="H14" s="5"/>
      <c r="I14" s="5"/>
      <c r="J14" s="5"/>
      <c r="K14" s="6"/>
      <c r="L14" s="6"/>
      <c r="M14" s="6"/>
      <c r="T14" s="23"/>
    </row>
    <row r="15" customFormat="false" ht="13.5" hidden="false" customHeight="true" outlineLevel="0" collapsed="false">
      <c r="A15" s="17"/>
      <c r="B15" s="24" t="n">
        <f aca="false">VLOOKUP("d1", quali_results!$A$1:$C$40,2,0)</f>
        <v>0</v>
      </c>
      <c r="C15" s="24" t="n">
        <f aca="false">VLOOKUP("d1", quali_results!$A$1:$C$40,3,0)</f>
        <v>0</v>
      </c>
      <c r="D15" s="25"/>
      <c r="E15" s="25"/>
      <c r="F15" s="25"/>
      <c r="G15" s="5"/>
      <c r="H15" s="5"/>
      <c r="I15" s="5"/>
      <c r="J15" s="5"/>
      <c r="K15" s="6"/>
      <c r="L15" s="6"/>
      <c r="M15" s="6"/>
      <c r="T15" s="23"/>
    </row>
    <row r="16" customFormat="false" ht="12.75" hidden="false" customHeight="true" outlineLevel="0" collapsed="false">
      <c r="A16" s="17"/>
      <c r="T16" s="23"/>
    </row>
    <row r="17" customFormat="false" ht="12.75" hidden="false" customHeight="true" outlineLevel="0" collapsed="false">
      <c r="A17" s="17"/>
      <c r="B17" s="31"/>
      <c r="C17" s="31"/>
      <c r="D17" s="32"/>
      <c r="E17" s="32"/>
      <c r="F17" s="32"/>
      <c r="G17" s="31"/>
      <c r="H17" s="31"/>
      <c r="I17" s="31"/>
      <c r="J17" s="31"/>
      <c r="K17" s="32"/>
      <c r="L17" s="32"/>
      <c r="M17" s="32"/>
      <c r="N17" s="31"/>
      <c r="O17" s="31"/>
      <c r="P17" s="31"/>
      <c r="Q17" s="31"/>
      <c r="R17" s="32"/>
      <c r="S17" s="32"/>
      <c r="T17" s="33"/>
    </row>
    <row r="18" customFormat="false" ht="12.75" hidden="false" customHeight="true" outlineLevel="0" collapsed="false">
      <c r="A18" s="17" t="s">
        <v>95</v>
      </c>
      <c r="B18" s="18"/>
      <c r="C18" s="18"/>
      <c r="D18" s="19"/>
      <c r="E18" s="19"/>
      <c r="F18" s="19"/>
      <c r="G18" s="18"/>
      <c r="H18" s="18"/>
      <c r="I18" s="18"/>
      <c r="J18" s="18"/>
      <c r="K18" s="19"/>
      <c r="L18" s="19"/>
      <c r="M18" s="19"/>
      <c r="N18" s="18"/>
      <c r="O18" s="18"/>
      <c r="P18" s="18"/>
      <c r="Q18" s="18"/>
      <c r="R18" s="19"/>
      <c r="S18" s="19"/>
      <c r="T18" s="20"/>
    </row>
    <row r="19" customFormat="false" ht="12.75" hidden="false" customHeight="true" outlineLevel="0" collapsed="false">
      <c r="A19" s="17"/>
      <c r="T19" s="23"/>
    </row>
    <row r="20" customFormat="false" ht="13.5" hidden="false" customHeight="true" outlineLevel="0" collapsed="false">
      <c r="A20" s="17"/>
      <c r="B20" s="21" t="n">
        <f aca="false">VLOOKUP("a3", quali_results!$A$1:$C40,2,0)</f>
        <v>0</v>
      </c>
      <c r="C20" s="21" t="n">
        <f aca="false">VLOOKUP("a3", quali_results!$A$1:$C40,3,0)</f>
        <v>0</v>
      </c>
      <c r="D20" s="22"/>
      <c r="E20" s="22"/>
      <c r="F20" s="22"/>
      <c r="G20" s="5"/>
      <c r="H20" s="5"/>
      <c r="I20" s="5"/>
      <c r="J20" s="5"/>
      <c r="K20" s="6"/>
      <c r="L20" s="6"/>
      <c r="M20" s="6"/>
      <c r="T20" s="23"/>
    </row>
    <row r="21" customFormat="false" ht="13.5" hidden="false" customHeight="true" outlineLevel="0" collapsed="false">
      <c r="A21" s="17"/>
      <c r="B21" s="24" t="n">
        <f aca="false">VLOOKUP("c4", quali_results!$A$1:$C40,2,0)</f>
        <v>0</v>
      </c>
      <c r="C21" s="24" t="n">
        <f aca="false">VLOOKUP("c4", quali_results!$A$1:$C40,3,0)</f>
        <v>0</v>
      </c>
      <c r="D21" s="25"/>
      <c r="E21" s="25"/>
      <c r="F21" s="25"/>
      <c r="G21" s="26"/>
      <c r="H21" s="5"/>
      <c r="I21" s="5"/>
      <c r="J21" s="5"/>
      <c r="K21" s="6"/>
      <c r="L21" s="6"/>
      <c r="M21" s="6"/>
      <c r="T21" s="23"/>
    </row>
    <row r="22" customFormat="false" ht="13.5" hidden="false" customHeight="true" outlineLevel="0" collapsed="false">
      <c r="A22" s="17"/>
      <c r="B22" s="5"/>
      <c r="C22" s="5"/>
      <c r="D22" s="6"/>
      <c r="E22" s="6"/>
      <c r="F22" s="6"/>
      <c r="G22" s="27"/>
      <c r="H22" s="28"/>
      <c r="I22" s="21"/>
      <c r="J22" s="21"/>
      <c r="K22" s="22"/>
      <c r="L22" s="22"/>
      <c r="M22" s="22"/>
      <c r="N22" s="28"/>
      <c r="T22" s="23"/>
    </row>
    <row r="23" customFormat="false" ht="13.5" hidden="false" customHeight="true" outlineLevel="0" collapsed="false">
      <c r="A23" s="17"/>
      <c r="B23" s="5"/>
      <c r="C23" s="5"/>
      <c r="D23" s="6"/>
      <c r="E23" s="6"/>
      <c r="F23" s="6"/>
      <c r="G23" s="27"/>
      <c r="H23" s="5"/>
      <c r="I23" s="24"/>
      <c r="J23" s="24"/>
      <c r="K23" s="25"/>
      <c r="L23" s="25"/>
      <c r="M23" s="25"/>
      <c r="N23" s="27"/>
      <c r="T23" s="23"/>
    </row>
    <row r="24" customFormat="false" ht="13.5" hidden="false" customHeight="true" outlineLevel="0" collapsed="false">
      <c r="A24" s="17"/>
      <c r="B24" s="21" t="n">
        <f aca="false">VLOOKUP("a4", quali_results!$A$1:$C$40,2,0)</f>
        <v>0</v>
      </c>
      <c r="C24" s="21" t="n">
        <f aca="false">VLOOKUP("a4", quali_results!$A$1:$C$40,3,0)</f>
        <v>0</v>
      </c>
      <c r="D24" s="22"/>
      <c r="E24" s="22"/>
      <c r="F24" s="22"/>
      <c r="G24" s="29"/>
      <c r="H24" s="5"/>
      <c r="I24" s="5"/>
      <c r="J24" s="5"/>
      <c r="K24" s="6"/>
      <c r="L24" s="6"/>
      <c r="M24" s="6"/>
      <c r="N24" s="27"/>
      <c r="P24" s="5"/>
      <c r="Q24" s="5"/>
      <c r="R24" s="6"/>
      <c r="S24" s="6"/>
      <c r="T24" s="30"/>
    </row>
    <row r="25" customFormat="false" ht="13.5" hidden="false" customHeight="true" outlineLevel="0" collapsed="false">
      <c r="A25" s="17"/>
      <c r="B25" s="24" t="n">
        <f aca="false">VLOOKUP("c3", quali_results!$A$1:$C$40,2,0)</f>
        <v>0</v>
      </c>
      <c r="C25" s="24" t="n">
        <f aca="false">VLOOKUP("c3", quali_results!$A$1:$C$40,3,0)</f>
        <v>0</v>
      </c>
      <c r="D25" s="25"/>
      <c r="E25" s="25"/>
      <c r="F25" s="25"/>
      <c r="G25" s="5"/>
      <c r="H25" s="5"/>
      <c r="I25" s="5"/>
      <c r="J25" s="5"/>
      <c r="K25" s="6"/>
      <c r="L25" s="6"/>
      <c r="M25" s="6"/>
      <c r="N25" s="27"/>
      <c r="O25" s="28"/>
      <c r="P25" s="21"/>
      <c r="Q25" s="21"/>
      <c r="R25" s="22"/>
      <c r="S25" s="22"/>
      <c r="T25" s="22"/>
    </row>
    <row r="26" customFormat="false" ht="13.5" hidden="false" customHeight="true" outlineLevel="0" collapsed="false">
      <c r="A26" s="17"/>
      <c r="N26" s="27"/>
      <c r="P26" s="24"/>
      <c r="Q26" s="24"/>
      <c r="R26" s="25"/>
      <c r="S26" s="25"/>
      <c r="T26" s="25"/>
    </row>
    <row r="27" customFormat="false" ht="13.5" hidden="false" customHeight="true" outlineLevel="0" collapsed="false">
      <c r="A27" s="17"/>
      <c r="N27" s="27"/>
      <c r="P27" s="5"/>
      <c r="Q27" s="5"/>
      <c r="R27" s="6"/>
      <c r="S27" s="6"/>
      <c r="T27" s="30"/>
    </row>
    <row r="28" customFormat="false" ht="13.5" hidden="false" customHeight="true" outlineLevel="0" collapsed="false">
      <c r="A28" s="17"/>
      <c r="B28" s="21" t="n">
        <f aca="false">VLOOKUP("b3", quali_results!$A$1:$C$40,2,0)</f>
        <v>0</v>
      </c>
      <c r="C28" s="21" t="n">
        <f aca="false">VLOOKUP("b3", quali_results!$A$1:$C$40,3,0)</f>
        <v>0</v>
      </c>
      <c r="D28" s="22"/>
      <c r="E28" s="22"/>
      <c r="F28" s="22"/>
      <c r="G28" s="5"/>
      <c r="H28" s="5"/>
      <c r="I28" s="5"/>
      <c r="J28" s="5"/>
      <c r="K28" s="6"/>
      <c r="L28" s="6"/>
      <c r="M28" s="6"/>
      <c r="N28" s="27"/>
      <c r="O28" s="28"/>
      <c r="P28" s="21"/>
      <c r="Q28" s="21"/>
      <c r="R28" s="22"/>
      <c r="S28" s="22"/>
      <c r="T28" s="22"/>
    </row>
    <row r="29" customFormat="false" ht="13.5" hidden="false" customHeight="true" outlineLevel="0" collapsed="false">
      <c r="A29" s="17"/>
      <c r="B29" s="24" t="n">
        <f aca="false">VLOOKUP("d4", quali_results!$A$1:$C$40,2,0)</f>
        <v>0</v>
      </c>
      <c r="C29" s="24" t="n">
        <f aca="false">VLOOKUP("d4", quali_results!$A$1:$C$40,3,0)</f>
        <v>0</v>
      </c>
      <c r="D29" s="25"/>
      <c r="E29" s="25"/>
      <c r="F29" s="25"/>
      <c r="G29" s="26"/>
      <c r="H29" s="5"/>
      <c r="I29" s="5"/>
      <c r="J29" s="5"/>
      <c r="K29" s="6"/>
      <c r="L29" s="6"/>
      <c r="M29" s="6"/>
      <c r="N29" s="27"/>
      <c r="P29" s="24"/>
      <c r="Q29" s="24"/>
      <c r="R29" s="25"/>
      <c r="S29" s="25"/>
      <c r="T29" s="25"/>
    </row>
    <row r="30" customFormat="false" ht="13.5" hidden="false" customHeight="true" outlineLevel="0" collapsed="false">
      <c r="A30" s="17"/>
      <c r="B30" s="5"/>
      <c r="C30" s="5"/>
      <c r="D30" s="6"/>
      <c r="E30" s="6"/>
      <c r="F30" s="6"/>
      <c r="G30" s="27"/>
      <c r="H30" s="28"/>
      <c r="I30" s="21"/>
      <c r="J30" s="21"/>
      <c r="K30" s="22"/>
      <c r="L30" s="22"/>
      <c r="M30" s="22"/>
      <c r="N30" s="29"/>
      <c r="P30" s="5"/>
      <c r="Q30" s="5"/>
      <c r="R30" s="6"/>
      <c r="S30" s="6"/>
      <c r="T30" s="30"/>
    </row>
    <row r="31" customFormat="false" ht="13.5" hidden="false" customHeight="true" outlineLevel="0" collapsed="false">
      <c r="A31" s="17"/>
      <c r="B31" s="5"/>
      <c r="C31" s="5"/>
      <c r="D31" s="6"/>
      <c r="E31" s="6"/>
      <c r="F31" s="6"/>
      <c r="G31" s="27"/>
      <c r="H31" s="5"/>
      <c r="I31" s="24"/>
      <c r="J31" s="24"/>
      <c r="K31" s="25"/>
      <c r="L31" s="25"/>
      <c r="M31" s="25"/>
      <c r="T31" s="23"/>
    </row>
    <row r="32" customFormat="false" ht="13.5" hidden="false" customHeight="true" outlineLevel="0" collapsed="false">
      <c r="A32" s="17"/>
      <c r="B32" s="21" t="n">
        <f aca="false">VLOOKUP("b4", quali_results!$A$1:$C$40,2,0)</f>
        <v>0</v>
      </c>
      <c r="C32" s="21" t="n">
        <f aca="false">VLOOKUP("b4", quali_results!$A$1:$C$40,3,0)</f>
        <v>0</v>
      </c>
      <c r="D32" s="22"/>
      <c r="E32" s="22"/>
      <c r="F32" s="22"/>
      <c r="G32" s="29"/>
      <c r="H32" s="5"/>
      <c r="I32" s="5"/>
      <c r="J32" s="5"/>
      <c r="K32" s="6"/>
      <c r="L32" s="6"/>
      <c r="M32" s="6"/>
      <c r="T32" s="23"/>
    </row>
    <row r="33" customFormat="false" ht="13.5" hidden="false" customHeight="true" outlineLevel="0" collapsed="false">
      <c r="A33" s="17"/>
      <c r="B33" s="24" t="n">
        <f aca="false">VLOOKUP("d3", quali_results!$A$1:$C$40,2,0)</f>
        <v>0</v>
      </c>
      <c r="C33" s="24" t="n">
        <f aca="false">VLOOKUP("d3", quali_results!$A$1:$C$40,3,0)</f>
        <v>0</v>
      </c>
      <c r="D33" s="25"/>
      <c r="E33" s="25"/>
      <c r="F33" s="25"/>
      <c r="G33" s="5"/>
      <c r="H33" s="5"/>
      <c r="I33" s="5"/>
      <c r="J33" s="5"/>
      <c r="K33" s="6"/>
      <c r="L33" s="6"/>
      <c r="M33" s="6"/>
      <c r="T33" s="23"/>
    </row>
    <row r="34" customFormat="false" ht="12.75" hidden="false" customHeight="true" outlineLevel="0" collapsed="false">
      <c r="A34" s="17"/>
      <c r="T34" s="23"/>
    </row>
    <row r="35" customFormat="false" ht="12.75" hidden="false" customHeight="true" outlineLevel="0" collapsed="false">
      <c r="A35" s="17"/>
      <c r="B35" s="31"/>
      <c r="C35" s="31"/>
      <c r="D35" s="32"/>
      <c r="E35" s="32"/>
      <c r="F35" s="32"/>
      <c r="G35" s="31"/>
      <c r="H35" s="31"/>
      <c r="I35" s="31"/>
      <c r="J35" s="31"/>
      <c r="K35" s="32"/>
      <c r="L35" s="32"/>
      <c r="M35" s="32"/>
      <c r="N35" s="31"/>
      <c r="O35" s="31"/>
      <c r="P35" s="31"/>
      <c r="Q35" s="31"/>
      <c r="R35" s="32"/>
      <c r="S35" s="32"/>
      <c r="T35" s="33"/>
    </row>
    <row r="36" customFormat="false" ht="12.75" hidden="false" customHeight="true" outlineLevel="0" collapsed="false">
      <c r="A36" s="17" t="s">
        <v>96</v>
      </c>
      <c r="I36" s="18"/>
      <c r="J36" s="18"/>
      <c r="K36" s="19"/>
      <c r="L36" s="19"/>
      <c r="M36" s="19"/>
      <c r="N36" s="18"/>
      <c r="O36" s="18"/>
      <c r="P36" s="18"/>
      <c r="Q36" s="18"/>
      <c r="R36" s="19"/>
      <c r="S36" s="19"/>
      <c r="T36" s="20"/>
    </row>
    <row r="37" customFormat="false" ht="13.5" hidden="false" customHeight="true" outlineLevel="0" collapsed="false">
      <c r="A37" s="17"/>
      <c r="I37" s="5"/>
      <c r="J37" s="5"/>
      <c r="K37" s="6"/>
      <c r="L37" s="6"/>
      <c r="M37" s="6"/>
      <c r="T37" s="23"/>
    </row>
    <row r="38" customFormat="false" ht="13.5" hidden="false" customHeight="true" outlineLevel="0" collapsed="false">
      <c r="A38" s="17"/>
      <c r="I38" s="5"/>
      <c r="J38" s="5"/>
      <c r="K38" s="6"/>
      <c r="L38" s="6"/>
      <c r="M38" s="6"/>
      <c r="T38" s="23"/>
    </row>
    <row r="39" customFormat="false" ht="13.5" hidden="false" customHeight="true" outlineLevel="0" collapsed="false">
      <c r="A39" s="17"/>
      <c r="I39" s="21" t="n">
        <f aca="false">VLOOKUP("a5", quali_results!$A$1:$C$40,2,0)</f>
        <v>0</v>
      </c>
      <c r="J39" s="21" t="n">
        <f aca="false">VLOOKUP("a5", quali_results!$A$1:$C$40,3,0)</f>
        <v>0</v>
      </c>
      <c r="K39" s="22"/>
      <c r="L39" s="22"/>
      <c r="M39" s="22"/>
      <c r="N39" s="28"/>
      <c r="T39" s="23"/>
    </row>
    <row r="40" customFormat="false" ht="13.5" hidden="false" customHeight="true" outlineLevel="0" collapsed="false">
      <c r="A40" s="17"/>
      <c r="I40" s="24" t="n">
        <f aca="false">VLOOKUP("c5", quali_results!$A$1:$C$40,2,0)</f>
        <v>0</v>
      </c>
      <c r="J40" s="24" t="n">
        <f aca="false">VLOOKUP("c5", quali_results!$A$1:$C$40,3,0)</f>
        <v>0</v>
      </c>
      <c r="K40" s="25"/>
      <c r="L40" s="25"/>
      <c r="M40" s="25"/>
      <c r="N40" s="27"/>
      <c r="T40" s="23"/>
    </row>
    <row r="41" customFormat="false" ht="13.5" hidden="false" customHeight="true" outlineLevel="0" collapsed="false">
      <c r="A41" s="17"/>
      <c r="I41" s="5"/>
      <c r="J41" s="5"/>
      <c r="K41" s="6"/>
      <c r="L41" s="6"/>
      <c r="M41" s="6"/>
      <c r="N41" s="27"/>
      <c r="P41" s="5"/>
      <c r="Q41" s="5"/>
      <c r="R41" s="6"/>
      <c r="S41" s="6"/>
      <c r="T41" s="30"/>
    </row>
    <row r="42" customFormat="false" ht="13.5" hidden="false" customHeight="true" outlineLevel="0" collapsed="false">
      <c r="A42" s="17"/>
      <c r="I42" s="5"/>
      <c r="J42" s="5"/>
      <c r="K42" s="6"/>
      <c r="L42" s="6"/>
      <c r="M42" s="6"/>
      <c r="N42" s="27"/>
      <c r="O42" s="28"/>
      <c r="P42" s="21"/>
      <c r="Q42" s="21"/>
      <c r="R42" s="22"/>
      <c r="S42" s="22"/>
      <c r="T42" s="22"/>
    </row>
    <row r="43" customFormat="false" ht="13.5" hidden="false" customHeight="true" outlineLevel="0" collapsed="false">
      <c r="A43" s="17"/>
      <c r="N43" s="27"/>
      <c r="P43" s="24"/>
      <c r="Q43" s="24"/>
      <c r="R43" s="25"/>
      <c r="S43" s="25"/>
      <c r="T43" s="25"/>
    </row>
    <row r="44" customFormat="false" ht="13.5" hidden="false" customHeight="true" outlineLevel="0" collapsed="false">
      <c r="A44" s="17"/>
      <c r="N44" s="27"/>
      <c r="P44" s="5"/>
      <c r="Q44" s="5"/>
      <c r="R44" s="6"/>
      <c r="S44" s="6"/>
      <c r="T44" s="30"/>
    </row>
    <row r="45" customFormat="false" ht="13.5" hidden="false" customHeight="true" outlineLevel="0" collapsed="false">
      <c r="A45" s="17"/>
      <c r="I45" s="5"/>
      <c r="J45" s="5"/>
      <c r="K45" s="6"/>
      <c r="L45" s="6"/>
      <c r="M45" s="6"/>
      <c r="N45" s="27"/>
      <c r="O45" s="28"/>
      <c r="P45" s="21"/>
      <c r="Q45" s="21"/>
      <c r="R45" s="22"/>
      <c r="S45" s="22"/>
      <c r="T45" s="22"/>
    </row>
    <row r="46" customFormat="false" ht="13.5" hidden="false" customHeight="true" outlineLevel="0" collapsed="false">
      <c r="A46" s="17"/>
      <c r="I46" s="5"/>
      <c r="J46" s="5"/>
      <c r="K46" s="6"/>
      <c r="L46" s="6"/>
      <c r="M46" s="6"/>
      <c r="N46" s="27"/>
      <c r="P46" s="24"/>
      <c r="Q46" s="24"/>
      <c r="R46" s="25"/>
      <c r="S46" s="25"/>
      <c r="T46" s="25"/>
    </row>
    <row r="47" customFormat="false" ht="13.5" hidden="false" customHeight="true" outlineLevel="0" collapsed="false">
      <c r="A47" s="17"/>
      <c r="I47" s="21" t="n">
        <f aca="false">VLOOKUP("b5", quali_results!$A$1:$C$40,2,0)</f>
        <v>0</v>
      </c>
      <c r="J47" s="21" t="n">
        <f aca="false">VLOOKUP("b5", quali_results!$A$1:$C$40,3,0)</f>
        <v>0</v>
      </c>
      <c r="K47" s="22"/>
      <c r="L47" s="22"/>
      <c r="M47" s="22"/>
      <c r="N47" s="29"/>
      <c r="P47" s="5"/>
      <c r="Q47" s="5"/>
      <c r="R47" s="6"/>
      <c r="S47" s="6"/>
      <c r="T47" s="30"/>
    </row>
    <row r="48" customFormat="false" ht="13.5" hidden="false" customHeight="true" outlineLevel="0" collapsed="false">
      <c r="A48" s="17"/>
      <c r="I48" s="24" t="n">
        <f aca="false">VLOOKUP("d5", quali_results!$A$1:$C$40,2,0)</f>
        <v>0</v>
      </c>
      <c r="J48" s="24" t="n">
        <f aca="false">VLOOKUP("d5", quali_results!$A$1:$C$40,3,0)</f>
        <v>0</v>
      </c>
      <c r="K48" s="25"/>
      <c r="L48" s="25"/>
      <c r="M48" s="25"/>
      <c r="T48" s="23"/>
    </row>
    <row r="49" customFormat="false" ht="13.5" hidden="false" customHeight="true" outlineLevel="0" collapsed="false">
      <c r="A49" s="17"/>
      <c r="I49" s="5"/>
      <c r="J49" s="5"/>
      <c r="K49" s="6"/>
      <c r="L49" s="6"/>
      <c r="M49" s="6"/>
      <c r="T49" s="23"/>
    </row>
    <row r="50" customFormat="false" ht="13.5" hidden="false" customHeight="true" outlineLevel="0" collapsed="false">
      <c r="A50" s="17"/>
      <c r="I50" s="5"/>
      <c r="J50" s="5"/>
      <c r="K50" s="6"/>
      <c r="L50" s="6"/>
      <c r="M50" s="6"/>
      <c r="T50" s="23"/>
    </row>
    <row r="51" customFormat="false" ht="12.75" hidden="false" customHeight="true" outlineLevel="0" collapsed="false">
      <c r="A51" s="17"/>
      <c r="T51" s="23"/>
    </row>
    <row r="52" customFormat="false" ht="12.75" hidden="false" customHeight="true" outlineLevel="0" collapsed="false">
      <c r="A52" s="17"/>
      <c r="B52" s="31"/>
      <c r="C52" s="31"/>
      <c r="D52" s="32"/>
      <c r="E52" s="32"/>
      <c r="F52" s="32"/>
      <c r="G52" s="31"/>
      <c r="H52" s="31"/>
      <c r="I52" s="31"/>
      <c r="J52" s="31"/>
      <c r="K52" s="32"/>
      <c r="L52" s="32"/>
      <c r="M52" s="32"/>
      <c r="N52" s="31"/>
      <c r="O52" s="31"/>
      <c r="P52" s="31"/>
      <c r="Q52" s="31"/>
      <c r="R52" s="32"/>
      <c r="S52" s="32"/>
      <c r="T52" s="33"/>
    </row>
    <row r="53" customFormat="false" ht="12.75" hidden="false" customHeight="true" outlineLevel="0" collapsed="false">
      <c r="A53" s="34" t="s">
        <v>97</v>
      </c>
      <c r="I53" s="18"/>
      <c r="J53" s="18"/>
      <c r="K53" s="19"/>
      <c r="L53" s="19"/>
      <c r="M53" s="19"/>
      <c r="N53" s="18"/>
      <c r="O53" s="18"/>
      <c r="P53" s="18"/>
      <c r="Q53" s="18"/>
      <c r="R53" s="19"/>
      <c r="S53" s="19"/>
      <c r="T53" s="20"/>
    </row>
    <row r="54" customFormat="false" ht="13.5" hidden="false" customHeight="true" outlineLevel="0" collapsed="false">
      <c r="A54" s="34"/>
      <c r="I54" s="5"/>
      <c r="J54" s="5"/>
      <c r="K54" s="6"/>
      <c r="L54" s="6"/>
      <c r="M54" s="6"/>
      <c r="T54" s="23"/>
    </row>
    <row r="55" customFormat="false" ht="12.75" hidden="false" customHeight="true" outlineLevel="0" collapsed="false">
      <c r="A55" s="34"/>
      <c r="T55" s="23"/>
    </row>
    <row r="56" customFormat="false" ht="12.75" hidden="false" customHeight="true" outlineLevel="0" collapsed="false">
      <c r="A56" s="34"/>
      <c r="T56" s="23"/>
    </row>
    <row r="57" customFormat="false" ht="12.75" hidden="false" customHeight="true" outlineLevel="0" collapsed="false">
      <c r="A57" s="34"/>
      <c r="T57" s="23"/>
    </row>
    <row r="58" customFormat="false" ht="13.5" hidden="false" customHeight="true" outlineLevel="0" collapsed="false">
      <c r="A58" s="34"/>
      <c r="P58" s="5"/>
      <c r="Q58" s="5"/>
      <c r="R58" s="6"/>
      <c r="S58" s="6"/>
      <c r="T58" s="30"/>
    </row>
    <row r="59" customFormat="false" ht="13.5" hidden="false" customHeight="true" outlineLevel="0" collapsed="false">
      <c r="A59" s="34"/>
      <c r="P59" s="21" t="n">
        <f aca="false">VLOOKUP("w1", quali_results!$A$1:$C$40,2,0)</f>
        <v>0</v>
      </c>
      <c r="Q59" s="21" t="n">
        <f aca="false">VLOOKUP("w1", quali_results!$A$1:$C$40,3,0)</f>
        <v>0</v>
      </c>
      <c r="R59" s="22"/>
      <c r="S59" s="22"/>
      <c r="T59" s="22"/>
    </row>
    <row r="60" customFormat="false" ht="13.5" hidden="false" customHeight="true" outlineLevel="0" collapsed="false">
      <c r="A60" s="34"/>
      <c r="P60" s="24" t="n">
        <f aca="false">VLOOKUP("w2", quali_results!$A$1:$C$40,2,0)</f>
        <v>0</v>
      </c>
      <c r="Q60" s="24" t="n">
        <f aca="false">VLOOKUP("w2", quali_results!$A$1:$C$40,3,0)</f>
        <v>0</v>
      </c>
      <c r="R60" s="25"/>
      <c r="S60" s="25"/>
      <c r="T60" s="25"/>
    </row>
    <row r="61" customFormat="false" ht="13.5" hidden="false" customHeight="true" outlineLevel="0" collapsed="false">
      <c r="A61" s="34"/>
      <c r="P61" s="5"/>
      <c r="Q61" s="5"/>
      <c r="R61" s="6"/>
      <c r="S61" s="6"/>
      <c r="T61" s="22"/>
    </row>
    <row r="62" customFormat="false" ht="13.5" hidden="false" customHeight="true" outlineLevel="0" collapsed="false">
      <c r="A62" s="34"/>
      <c r="P62" s="21" t="n">
        <f aca="false">VLOOKUP("w3", quali_results!$A$1:$C$40,2,0)</f>
        <v>0</v>
      </c>
      <c r="Q62" s="21" t="n">
        <f aca="false">VLOOKUP("w3", quali_results!$A$1:$C$40,3,0)</f>
        <v>0</v>
      </c>
      <c r="R62" s="22"/>
      <c r="S62" s="22"/>
      <c r="T62" s="22"/>
    </row>
    <row r="63" customFormat="false" ht="13.5" hidden="false" customHeight="true" outlineLevel="0" collapsed="false">
      <c r="A63" s="34"/>
      <c r="P63" s="24" t="n">
        <f aca="false">VLOOKUP("w4", quali_results!$A$1:$C$40,2,0)</f>
        <v>0</v>
      </c>
      <c r="Q63" s="24" t="n">
        <f aca="false">VLOOKUP("w4", quali_results!$A$1:$C$40,3,0)</f>
        <v>0</v>
      </c>
      <c r="R63" s="25"/>
      <c r="S63" s="25"/>
      <c r="T63" s="25"/>
    </row>
    <row r="64" customFormat="false" ht="13.5" hidden="false" customHeight="true" outlineLevel="0" collapsed="false">
      <c r="A64" s="34"/>
      <c r="P64" s="5"/>
      <c r="Q64" s="5"/>
      <c r="R64" s="6"/>
      <c r="S64" s="6"/>
      <c r="T64" s="30"/>
    </row>
    <row r="65" customFormat="false" ht="12.75" hidden="false" customHeight="true" outlineLevel="0" collapsed="false">
      <c r="A65" s="34"/>
      <c r="T65" s="23"/>
    </row>
    <row r="66" customFormat="false" ht="12.75" hidden="false" customHeight="true" outlineLevel="0" collapsed="false">
      <c r="A66" s="34"/>
      <c r="T66" s="23"/>
    </row>
    <row r="67" customFormat="false" ht="13.5" hidden="false" customHeight="true" outlineLevel="0" collapsed="false">
      <c r="A67" s="34"/>
      <c r="I67" s="5"/>
      <c r="J67" s="5"/>
      <c r="K67" s="6"/>
      <c r="L67" s="6"/>
      <c r="M67" s="6"/>
      <c r="T67" s="23"/>
    </row>
    <row r="68" customFormat="false" ht="12.75" hidden="false" customHeight="true" outlineLevel="0" collapsed="false">
      <c r="A68" s="34"/>
      <c r="T68" s="23"/>
    </row>
    <row r="69" customFormat="false" ht="12.75" hidden="false" customHeight="true" outlineLevel="0" collapsed="false">
      <c r="A69" s="34"/>
      <c r="B69" s="31"/>
      <c r="C69" s="31"/>
      <c r="D69" s="32"/>
      <c r="E69" s="32"/>
      <c r="F69" s="32"/>
      <c r="G69" s="31"/>
      <c r="H69" s="31"/>
      <c r="I69" s="31"/>
      <c r="J69" s="31"/>
      <c r="K69" s="32"/>
      <c r="L69" s="32"/>
      <c r="M69" s="32"/>
      <c r="N69" s="31"/>
      <c r="O69" s="31"/>
      <c r="P69" s="31"/>
      <c r="Q69" s="31"/>
      <c r="R69" s="32"/>
      <c r="S69" s="32"/>
      <c r="T69" s="33"/>
    </row>
    <row r="70" customFormat="false" ht="12.75" hidden="false" customHeight="true" outlineLevel="0" collapsed="false">
      <c r="A70" s="17" t="s">
        <v>98</v>
      </c>
      <c r="P70" s="18"/>
      <c r="Q70" s="18"/>
      <c r="R70" s="19"/>
      <c r="S70" s="19"/>
      <c r="T70" s="20"/>
    </row>
    <row r="71" customFormat="false" ht="13.5" hidden="false" customHeight="true" outlineLevel="0" collapsed="false">
      <c r="A71" s="17"/>
      <c r="I71" s="5"/>
      <c r="J71" s="5"/>
      <c r="K71" s="6"/>
      <c r="L71" s="6"/>
      <c r="M71" s="6"/>
      <c r="T71" s="23"/>
    </row>
    <row r="72" customFormat="false" ht="12.75" hidden="false" customHeight="true" outlineLevel="0" collapsed="false">
      <c r="A72" s="17"/>
      <c r="T72" s="23"/>
    </row>
    <row r="73" customFormat="false" ht="12.75" hidden="false" customHeight="true" outlineLevel="0" collapsed="false">
      <c r="A73" s="17"/>
      <c r="T73" s="23"/>
    </row>
    <row r="74" customFormat="false" ht="12.75" hidden="false" customHeight="true" outlineLevel="0" collapsed="false">
      <c r="A74" s="17"/>
      <c r="T74" s="23"/>
    </row>
    <row r="75" customFormat="false" ht="13.5" hidden="false" customHeight="true" outlineLevel="0" collapsed="false">
      <c r="A75" s="17"/>
      <c r="P75" s="5"/>
      <c r="Q75" s="5"/>
      <c r="R75" s="6"/>
      <c r="S75" s="6"/>
      <c r="T75" s="30"/>
    </row>
    <row r="76" customFormat="false" ht="13.5" hidden="false" customHeight="true" outlineLevel="0" collapsed="false">
      <c r="A76" s="17"/>
      <c r="P76" s="21" t="n">
        <f aca="false">VLOOKUP("g1", quali_results!$A$1:$C$40,2,0)</f>
        <v>0</v>
      </c>
      <c r="Q76" s="21" t="n">
        <f aca="false">VLOOKUP("g1", quali_results!$A$1:$C$40,3,0)</f>
        <v>0</v>
      </c>
      <c r="R76" s="22"/>
      <c r="S76" s="22"/>
      <c r="T76" s="22"/>
    </row>
    <row r="77" customFormat="false" ht="13.5" hidden="false" customHeight="true" outlineLevel="0" collapsed="false">
      <c r="A77" s="17"/>
      <c r="P77" s="24" t="n">
        <f aca="false">VLOOKUP("g2", quali_results!$A$1:$C$40,2,0)</f>
        <v>0</v>
      </c>
      <c r="Q77" s="24" t="n">
        <f aca="false">VLOOKUP("g2", quali_results!$A$1:$C$40,3,0)</f>
        <v>0</v>
      </c>
      <c r="R77" s="25"/>
      <c r="S77" s="25"/>
      <c r="T77" s="25"/>
    </row>
    <row r="78" customFormat="false" ht="13.5" hidden="false" customHeight="true" outlineLevel="0" collapsed="false">
      <c r="A78" s="17"/>
      <c r="P78" s="5"/>
      <c r="Q78" s="5"/>
      <c r="R78" s="6"/>
      <c r="S78" s="6"/>
      <c r="T78" s="30"/>
    </row>
    <row r="79" customFormat="false" ht="13.5" hidden="false" customHeight="true" outlineLevel="0" collapsed="false">
      <c r="A79" s="17"/>
      <c r="P79" s="21" t="n">
        <f aca="false">VLOOKUP("g3", quali_results!$A$1:$C$40,2,0)</f>
        <v>0</v>
      </c>
      <c r="Q79" s="21" t="n">
        <f aca="false">VLOOKUP("g3", quali_results!$A$1:$C$40,3,0)</f>
        <v>0</v>
      </c>
      <c r="R79" s="22"/>
      <c r="S79" s="22"/>
      <c r="T79" s="22"/>
    </row>
    <row r="80" customFormat="false" ht="13.5" hidden="false" customHeight="true" outlineLevel="0" collapsed="false">
      <c r="A80" s="17"/>
      <c r="P80" s="24" t="n">
        <f aca="false">VLOOKUP("g4", quali_results!$A$1:$C$40,2,0)</f>
        <v>0</v>
      </c>
      <c r="Q80" s="24" t="n">
        <f aca="false">VLOOKUP("g4", quali_results!$A$1:$C$40,3,0)</f>
        <v>0</v>
      </c>
      <c r="R80" s="25"/>
      <c r="S80" s="25"/>
      <c r="T80" s="25"/>
    </row>
    <row r="81" customFormat="false" ht="13.5" hidden="false" customHeight="true" outlineLevel="0" collapsed="false">
      <c r="A81" s="17"/>
      <c r="P81" s="5"/>
      <c r="Q81" s="5"/>
      <c r="R81" s="6"/>
      <c r="S81" s="6"/>
      <c r="T81" s="30"/>
    </row>
    <row r="82" customFormat="false" ht="12.75" hidden="false" customHeight="true" outlineLevel="0" collapsed="false">
      <c r="A82" s="17"/>
      <c r="T82" s="23"/>
    </row>
    <row r="83" customFormat="false" ht="12.75" hidden="false" customHeight="true" outlineLevel="0" collapsed="false">
      <c r="A83" s="17"/>
      <c r="T83" s="23"/>
    </row>
    <row r="84" customFormat="false" ht="13.5" hidden="false" customHeight="true" outlineLevel="0" collapsed="false">
      <c r="A84" s="17"/>
      <c r="I84" s="5"/>
      <c r="J84" s="5"/>
      <c r="K84" s="6"/>
      <c r="L84" s="6"/>
      <c r="M84" s="6"/>
      <c r="T84" s="23"/>
    </row>
    <row r="85" customFormat="false" ht="12.75" hidden="false" customHeight="true" outlineLevel="0" collapsed="false">
      <c r="A85" s="17"/>
      <c r="T85" s="23"/>
    </row>
    <row r="86" customFormat="false" ht="13.5" hidden="false" customHeight="true" outlineLevel="0" collapsed="false">
      <c r="A86" s="17"/>
      <c r="B86" s="31"/>
      <c r="C86" s="31"/>
      <c r="D86" s="32"/>
      <c r="E86" s="32"/>
      <c r="F86" s="32"/>
      <c r="G86" s="31"/>
      <c r="H86" s="31"/>
      <c r="I86" s="28"/>
      <c r="J86" s="28"/>
      <c r="K86" s="35"/>
      <c r="L86" s="35"/>
      <c r="M86" s="35"/>
      <c r="N86" s="28"/>
      <c r="O86" s="28"/>
      <c r="P86" s="31"/>
      <c r="Q86" s="31"/>
      <c r="R86" s="32"/>
      <c r="S86" s="32"/>
      <c r="T86" s="33"/>
    </row>
  </sheetData>
  <mergeCells count="5">
    <mergeCell ref="A1:A17"/>
    <mergeCell ref="A18:A35"/>
    <mergeCell ref="A36:A52"/>
    <mergeCell ref="A53:A69"/>
    <mergeCell ref="A70:A8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8" activeCellId="0" sqref="K18"/>
    </sheetView>
  </sheetViews>
  <sheetFormatPr defaultColWidth="11.6875" defaultRowHeight="12.75" zeroHeight="false" outlineLevelRow="0" outlineLevelCol="0"/>
  <cols>
    <col collapsed="false" customWidth="true" hidden="false" outlineLevel="0" max="1" min="1" style="1" width="20.57"/>
    <col collapsed="false" customWidth="true" hidden="false" outlineLevel="0" max="2" min="2" style="1" width="18.92"/>
    <col collapsed="false" customWidth="true" hidden="false" outlineLevel="0" max="3" min="3" style="1" width="20.37"/>
    <col collapsed="false" customWidth="true" hidden="false" outlineLevel="0" max="4" min="4" style="1" width="21.97"/>
  </cols>
  <sheetData>
    <row r="1" customFormat="false" ht="12.75" hidden="false" customHeight="true" outlineLevel="0" collapsed="false"/>
    <row r="6" customFormat="false" ht="27.75" hidden="false" customHeight="true" outlineLevel="0" collapsed="false">
      <c r="A6" s="36" t="s">
        <v>99</v>
      </c>
      <c r="B6" s="37" t="s">
        <v>100</v>
      </c>
      <c r="C6" s="37"/>
      <c r="D6" s="37"/>
    </row>
    <row r="7" customFormat="false" ht="27.75" hidden="false" customHeight="true" outlineLevel="0" collapsed="false">
      <c r="A7" s="36" t="s">
        <v>101</v>
      </c>
      <c r="B7" s="38"/>
      <c r="C7" s="38"/>
      <c r="D7" s="38"/>
    </row>
    <row r="8" customFormat="false" ht="27.75" hidden="false" customHeight="true" outlineLevel="0" collapsed="false">
      <c r="A8" s="36" t="s">
        <v>102</v>
      </c>
      <c r="B8" s="38"/>
      <c r="C8" s="38"/>
      <c r="D8" s="38"/>
    </row>
    <row r="9" customFormat="false" ht="27.75" hidden="false" customHeight="true" outlineLevel="0" collapsed="false">
      <c r="A9" s="39" t="s">
        <v>103</v>
      </c>
      <c r="B9" s="38"/>
      <c r="C9" s="38"/>
      <c r="D9" s="38"/>
    </row>
    <row r="10" customFormat="false" ht="27.75" hidden="false" customHeight="true" outlineLevel="0" collapsed="false">
      <c r="A10" s="17" t="s">
        <v>104</v>
      </c>
      <c r="B10" s="40"/>
      <c r="C10" s="40"/>
      <c r="D10" s="41" t="s">
        <v>105</v>
      </c>
    </row>
    <row r="11" s="9" customFormat="true" ht="27.75" hidden="false" customHeight="true" outlineLevel="0" collapsed="false">
      <c r="A11" s="17" t="s">
        <v>106</v>
      </c>
      <c r="B11" s="40"/>
      <c r="C11" s="40"/>
      <c r="D11" s="17" t="s">
        <v>106</v>
      </c>
    </row>
    <row r="12" s="9" customFormat="true" ht="27.75" hidden="false" customHeight="true" outlineLevel="0" collapsed="false">
      <c r="A12" s="17" t="s">
        <v>107</v>
      </c>
      <c r="B12" s="40"/>
      <c r="C12" s="40"/>
      <c r="D12" s="17" t="s">
        <v>107</v>
      </c>
    </row>
    <row r="13" s="9" customFormat="true" ht="27.75" hidden="false" customHeight="true" outlineLevel="0" collapsed="false">
      <c r="A13" s="42" t="s">
        <v>108</v>
      </c>
      <c r="B13" s="43"/>
      <c r="C13" s="43"/>
      <c r="D13" s="17" t="s">
        <v>108</v>
      </c>
    </row>
    <row r="16" customFormat="false" ht="12.75" hidden="false" customHeight="true" outlineLevel="0" collapsed="false">
      <c r="A16" s="31"/>
      <c r="B16" s="31"/>
      <c r="C16" s="31"/>
      <c r="D16" s="31"/>
    </row>
    <row r="20" customFormat="false" ht="27.75" hidden="false" customHeight="true" outlineLevel="0" collapsed="false">
      <c r="A20" s="36" t="s">
        <v>99</v>
      </c>
      <c r="B20" s="37" t="s">
        <v>100</v>
      </c>
      <c r="C20" s="37"/>
      <c r="D20" s="37"/>
    </row>
    <row r="21" customFormat="false" ht="27.75" hidden="false" customHeight="true" outlineLevel="0" collapsed="false">
      <c r="A21" s="36" t="s">
        <v>101</v>
      </c>
      <c r="B21" s="38"/>
      <c r="C21" s="38"/>
      <c r="D21" s="38"/>
    </row>
    <row r="22" customFormat="false" ht="27.75" hidden="false" customHeight="true" outlineLevel="0" collapsed="false">
      <c r="A22" s="36" t="s">
        <v>102</v>
      </c>
      <c r="B22" s="38"/>
      <c r="C22" s="38"/>
      <c r="D22" s="38"/>
    </row>
    <row r="23" customFormat="false" ht="27.75" hidden="false" customHeight="true" outlineLevel="0" collapsed="false">
      <c r="A23" s="39" t="s">
        <v>103</v>
      </c>
      <c r="B23" s="38"/>
      <c r="C23" s="38"/>
      <c r="D23" s="38"/>
    </row>
    <row r="24" customFormat="false" ht="27.75" hidden="false" customHeight="true" outlineLevel="0" collapsed="false">
      <c r="A24" s="17" t="s">
        <v>104</v>
      </c>
      <c r="B24" s="40"/>
      <c r="C24" s="40"/>
      <c r="D24" s="41" t="s">
        <v>105</v>
      </c>
    </row>
    <row r="25" customFormat="false" ht="27.75" hidden="false" customHeight="true" outlineLevel="0" collapsed="false">
      <c r="A25" s="17" t="s">
        <v>106</v>
      </c>
      <c r="B25" s="40"/>
      <c r="C25" s="40"/>
      <c r="D25" s="17" t="s">
        <v>106</v>
      </c>
    </row>
    <row r="26" customFormat="false" ht="27.75" hidden="false" customHeight="true" outlineLevel="0" collapsed="false">
      <c r="A26" s="17" t="s">
        <v>107</v>
      </c>
      <c r="B26" s="40"/>
      <c r="C26" s="40"/>
      <c r="D26" s="17" t="s">
        <v>107</v>
      </c>
    </row>
    <row r="27" customFormat="false" ht="27.75" hidden="false" customHeight="true" outlineLevel="0" collapsed="false">
      <c r="A27" s="42" t="s">
        <v>108</v>
      </c>
      <c r="B27" s="43"/>
      <c r="C27" s="43"/>
      <c r="D27" s="17" t="s">
        <v>108</v>
      </c>
    </row>
  </sheetData>
  <mergeCells count="8">
    <mergeCell ref="B6:D6"/>
    <mergeCell ref="B7:D7"/>
    <mergeCell ref="B8:D8"/>
    <mergeCell ref="B9:D9"/>
    <mergeCell ref="B20:D20"/>
    <mergeCell ref="B21:D21"/>
    <mergeCell ref="B22:D22"/>
    <mergeCell ref="B23:D23"/>
  </mergeCells>
  <printOptions headings="false" gridLines="false" gridLinesSet="true" horizontalCentered="false" verticalCentered="false"/>
  <pageMargins left="0.7875" right="0.985416666666667" top="0.886111111111111" bottom="0.88611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2026-04-19T20:33:22Z</dcterms:created>
  <dc:creator>openpyxl</dc:creator>
  <dc:description/>
  <dc:language>en-GB</dc:language>
  <cp:lastModifiedBy/>
  <dcterms:modified xsi:type="dcterms:W3CDTF">2026-05-01T18:22:03Z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