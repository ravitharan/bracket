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ttendance" sheetId="1" state="visible" r:id="rId2"/>
    <sheet name="quali_schedule" sheetId="2" state="visible" r:id="rId3"/>
    <sheet name="quali_score" sheetId="3" state="visible" r:id="rId4"/>
    <sheet name="quali_results" sheetId="4" state="visible" r:id="rId5"/>
    <sheet name="knockout_score" sheetId="5" state="visible" r:id="rId6"/>
    <sheet name="score_slip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<sst xmlns="http://schemas.openxmlformats.org/spreadsheetml/2006/main" count="178" uniqueCount="111">
  <si>
    <t xml:space="preserve">Group </t>
  </si>
  <si>
    <t xml:space="preserve">Team</t>
  </si>
  <si>
    <t xml:space="preserve">Player1</t>
  </si>
  <si>
    <t xml:space="preserve">Attendance</t>
  </si>
  <si>
    <t xml:space="preserve">Player2</t>
  </si>
  <si>
    <t xml:space="preserve">Total</t>
  </si>
  <si>
    <t xml:space="preserve">Group A</t>
  </si>
  <si>
    <t xml:space="preserve">E16</t>
  </si>
  <si>
    <t xml:space="preserve">Ko</t>
  </si>
  <si>
    <t xml:space="preserve">Th</t>
  </si>
  <si>
    <t xml:space="preserve">E82</t>
  </si>
  <si>
    <t xml:space="preserve">Ba</t>
  </si>
  <si>
    <t xml:space="preserve">Ku</t>
  </si>
  <si>
    <t xml:space="preserve">E91B</t>
  </si>
  <si>
    <t xml:space="preserve">Da</t>
  </si>
  <si>
    <t xml:space="preserve">An</t>
  </si>
  <si>
    <t xml:space="preserve">E97</t>
  </si>
  <si>
    <t xml:space="preserve">Dh</t>
  </si>
  <si>
    <t xml:space="preserve">E99</t>
  </si>
  <si>
    <t xml:space="preserve">Ka</t>
  </si>
  <si>
    <t xml:space="preserve">Ra</t>
  </si>
  <si>
    <t xml:space="preserve">Group B</t>
  </si>
  <si>
    <t xml:space="preserve">E00</t>
  </si>
  <si>
    <t xml:space="preserve">Me</t>
  </si>
  <si>
    <t xml:space="preserve">Vi</t>
  </si>
  <si>
    <t xml:space="preserve">E01B</t>
  </si>
  <si>
    <t xml:space="preserve">E85</t>
  </si>
  <si>
    <t xml:space="preserve">Lo</t>
  </si>
  <si>
    <t xml:space="preserve">E91C</t>
  </si>
  <si>
    <t xml:space="preserve">Na</t>
  </si>
  <si>
    <t xml:space="preserve">Pr</t>
  </si>
  <si>
    <t xml:space="preserve">S95</t>
  </si>
  <si>
    <t xml:space="preserve">Si</t>
  </si>
  <si>
    <t xml:space="preserve">Ro</t>
  </si>
  <si>
    <t xml:space="preserve">Group C</t>
  </si>
  <si>
    <t xml:space="preserve">E01A</t>
  </si>
  <si>
    <t xml:space="preserve">Va</t>
  </si>
  <si>
    <t xml:space="preserve">E02</t>
  </si>
  <si>
    <t xml:space="preserve">E03</t>
  </si>
  <si>
    <t xml:space="preserve">Sh</t>
  </si>
  <si>
    <t xml:space="preserve">E07</t>
  </si>
  <si>
    <t xml:space="preserve">Sa</t>
  </si>
  <si>
    <t xml:space="preserve">E90A</t>
  </si>
  <si>
    <t xml:space="preserve">Group D</t>
  </si>
  <si>
    <t xml:space="preserve">E87</t>
  </si>
  <si>
    <t xml:space="preserve">E89</t>
  </si>
  <si>
    <t xml:space="preserve">Ni</t>
  </si>
  <si>
    <t xml:space="preserve">La</t>
  </si>
  <si>
    <t xml:space="preserve">E90B</t>
  </si>
  <si>
    <t xml:space="preserve">E91A</t>
  </si>
  <si>
    <t xml:space="preserve">At</t>
  </si>
  <si>
    <t xml:space="preserve">E93</t>
  </si>
  <si>
    <t xml:space="preserve">Je</t>
  </si>
  <si>
    <t xml:space="preserve">Women &amp; Boys</t>
  </si>
  <si>
    <t xml:space="preserve">LA-TH</t>
  </si>
  <si>
    <t xml:space="preserve">NE-VI</t>
  </si>
  <si>
    <t xml:space="preserve">Ne</t>
  </si>
  <si>
    <t xml:space="preserve">NI-AS</t>
  </si>
  <si>
    <t xml:space="preserve">As</t>
  </si>
  <si>
    <t xml:space="preserve">SO-AA</t>
  </si>
  <si>
    <t xml:space="preserve">So</t>
  </si>
  <si>
    <t xml:space="preserve">Aa</t>
  </si>
  <si>
    <t xml:space="preserve">Girls</t>
  </si>
  <si>
    <t xml:space="preserve">AL</t>
  </si>
  <si>
    <t xml:space="preserve">Ar</t>
  </si>
  <si>
    <t xml:space="preserve">HA</t>
  </si>
  <si>
    <t xml:space="preserve">Ha</t>
  </si>
  <si>
    <t xml:space="preserve">SA</t>
  </si>
  <si>
    <t xml:space="preserve">Ak</t>
  </si>
  <si>
    <t xml:space="preserve">TS</t>
  </si>
  <si>
    <t xml:space="preserve">g1</t>
  </si>
  <si>
    <t xml:space="preserve">g2</t>
  </si>
  <si>
    <t xml:space="preserve">g3</t>
  </si>
  <si>
    <t xml:space="preserve">g4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</si>
  <si>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</si>
  <si>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</si>
  <si>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</si>
  <si>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</si>
  <si>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</si>
  <si>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</si>
  <si>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</si>
  <si>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</si>
  <si>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</si>
  <si>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</si>
  <si>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</si>
  <si>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</si>
  <si>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</si>
  <si>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</si>
  <si>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</si>
  <si>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</si>
  <si>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</si>
  <si>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</si>
  <si>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</si>
  <si>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</si>
  <si>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w1</t>
  </si>
  <si>
    <t xml:space="preserve">w2</t>
  </si>
  <si>
    <t xml:space="preserve">w3</t>
  </si>
  <si>
    <t xml:space="preserve">w4</t>
  </si>
  <si>
    <t xml:space="preserve">Gold</t>
  </si>
  <si>
    <t xml:space="preserve">Silver</t>
  </si>
  <si>
    <t xml:space="preserve">Bronze</t>
  </si>
  <si>
    <t xml:space="preserve">Category</t>
  </si>
  <si>
    <t xml:space="preserve">Quali / knockout (gold / silver / bronze / boys / girls)</t>
  </si>
  <si>
    <t xml:space="preserve">Round</t>
  </si>
  <si>
    <t xml:space="preserve">Court</t>
  </si>
  <si>
    <t xml:space="preserve">Scorer</t>
  </si>
  <si>
    <t xml:space="preserve">Team1</t>
  </si>
  <si>
    <t xml:space="preserve">Team2</t>
  </si>
  <si>
    <t xml:space="preserve">Match 1</t>
  </si>
  <si>
    <t xml:space="preserve">Match 2</t>
  </si>
  <si>
    <t xml:space="preserve">Match 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</si>
</sst>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2" activeCellId="0" sqref="F2"/>
    </sheetView>
  </sheetViews>
  <sheetFormatPr defaultColWidth="13.5234375" defaultRowHeight="12.75" zeroHeight="false" outlineLevelRow="0" outlineLevelCol="0"/>
  <cols>
    <col collapsed="false" customWidth="true" hidden="false" outlineLevel="0" max="1" min="1" style="1" width="15.31"/>
    <col collapsed="false" customWidth="true" hidden="false" outlineLevel="0" max="4" min="4" style="2" width="13.31"/>
    <col collapsed="false" customWidth="true" hidden="false" outlineLevel="0" max="7" min="6" style="2" width="13.31"/>
    <col collapsed="false" customWidth="true" hidden="false" outlineLevel="0" max="1024" min="967" style="1" width="11.52"/>
  </cols>
  <sheetData>
    <row r="1" s="3" customFormat="true" ht="13.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3</v>
      </c>
      <c r="G1" s="4" t="s">
        <v>5</v>
      </c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</row>
    <row r="2" customFormat="false" ht="13.5" hidden="false" customHeight="true" outlineLevel="0" collapsed="false">
      <c r="A2" s="1" t="s">
        <v>6</v>
      </c>
      <c r="B2" s="1" t="s">
        <v>7</v>
      </c>
      <c r="C2" s="1" t="s">
        <v>8</v>
      </c>
      <c r="E2" s="1" t="s">
        <v>9</v>
      </c>
      <c r="G2" s="5" t="str">
        <f aca="false">IF(AND(D2=1,F2=1),1,"")</f>
        <v/>
      </c>
    </row>
    <row r="3" customFormat="false" ht="13.5" hidden="false" customHeight="true" outlineLevel="0" collapsed="false">
      <c r="A3" s="1" t="s">
        <v>6</v>
      </c>
      <c r="B3" s="1" t="s">
        <v>10</v>
      </c>
      <c r="C3" s="1" t="s">
        <v>11</v>
      </c>
      <c r="E3" s="1" t="s">
        <v>12</v>
      </c>
      <c r="G3" s="5" t="str">
        <f aca="false">IF(AND(D3=1,F3=1),1,"")</f>
        <v/>
      </c>
    </row>
    <row r="4" customFormat="false" ht="13.5" hidden="false" customHeight="true" outlineLevel="0" collapsed="false">
      <c r="A4" s="1" t="s">
        <v>6</v>
      </c>
      <c r="B4" s="1" t="s">
        <v>13</v>
      </c>
      <c r="C4" s="1" t="s">
        <v>14</v>
      </c>
      <c r="E4" s="1" t="s">
        <v>15</v>
      </c>
      <c r="G4" s="5" t="str">
        <f aca="false">IF(AND(D4=1,F4=1),1,"")</f>
        <v/>
      </c>
    </row>
    <row r="5" customFormat="false" ht="13.5" hidden="false" customHeight="true" outlineLevel="0" collapsed="false">
      <c r="A5" s="1" t="s">
        <v>6</v>
      </c>
      <c r="B5" s="1" t="s">
        <v>16</v>
      </c>
      <c r="C5" s="1" t="s">
        <v>17</v>
      </c>
      <c r="E5" s="1" t="s">
        <v>9</v>
      </c>
      <c r="G5" s="5" t="str">
        <f aca="false">IF(AND(D5=1,F5=1),1,"")</f>
        <v/>
      </c>
    </row>
    <row r="6" customFormat="false" ht="13.5" hidden="false" customHeight="true" outlineLevel="0" collapsed="false">
      <c r="A6" s="1" t="s">
        <v>6</v>
      </c>
      <c r="B6" s="1" t="s">
        <v>18</v>
      </c>
      <c r="C6" s="1" t="s">
        <v>19</v>
      </c>
      <c r="E6" s="1" t="s">
        <v>20</v>
      </c>
      <c r="G6" s="5" t="str">
        <f aca="false">IF(AND(D6=1,F6=1),1,"")</f>
        <v/>
      </c>
    </row>
    <row r="7" customFormat="false" ht="13.5" hidden="false" customHeight="true" outlineLevel="0" collapsed="false">
      <c r="G7" s="2" t="n">
        <f aca="false">SUM(G2:G6)</f>
        <v>0</v>
      </c>
    </row>
    <row r="8" customFormat="false" ht="13.5" hidden="false" customHeight="true" outlineLevel="0" collapsed="false">
      <c r="A8" s="1" t="s">
        <v>21</v>
      </c>
      <c r="B8" s="1" t="s">
        <v>22</v>
      </c>
      <c r="C8" s="1" t="s">
        <v>23</v>
      </c>
      <c r="E8" s="1" t="s">
        <v>24</v>
      </c>
      <c r="G8" s="5" t="str">
        <f aca="false">IF(AND(D8=1,F8=1),1,"")</f>
        <v/>
      </c>
    </row>
    <row r="9" customFormat="false" ht="13.5" hidden="false" customHeight="true" outlineLevel="0" collapsed="false">
      <c r="A9" s="1" t="s">
        <v>21</v>
      </c>
      <c r="B9" s="1" t="s">
        <v>25</v>
      </c>
      <c r="C9" s="1" t="s">
        <v>19</v>
      </c>
      <c r="E9" s="1" t="s">
        <v>19</v>
      </c>
      <c r="G9" s="5" t="str">
        <f aca="false">IF(AND(D9=1,F9=1),1,"")</f>
        <v/>
      </c>
    </row>
    <row r="10" customFormat="false" ht="13.5" hidden="false" customHeight="true" outlineLevel="0" collapsed="false">
      <c r="A10" s="1" t="s">
        <v>21</v>
      </c>
      <c r="B10" s="1" t="s">
        <v>26</v>
      </c>
      <c r="C10" s="1" t="s">
        <v>27</v>
      </c>
      <c r="E10" s="1" t="s">
        <v>12</v>
      </c>
      <c r="G10" s="5" t="str">
        <f aca="false">IF(AND(D10=1,F10=1),1,"")</f>
        <v/>
      </c>
    </row>
    <row r="11" customFormat="false" ht="13.5" hidden="false" customHeight="true" outlineLevel="0" collapsed="false">
      <c r="A11" s="1" t="s">
        <v>21</v>
      </c>
      <c r="B11" s="1" t="s">
        <v>28</v>
      </c>
      <c r="C11" s="1" t="s">
        <v>29</v>
      </c>
      <c r="E11" s="1" t="s">
        <v>30</v>
      </c>
      <c r="G11" s="5" t="str">
        <f aca="false">IF(AND(D11=1,F11=1),1,"")</f>
        <v/>
      </c>
    </row>
    <row r="12" customFormat="false" ht="13.5" hidden="false" customHeight="true" outlineLevel="0" collapsed="false">
      <c r="A12" s="1" t="s">
        <v>21</v>
      </c>
      <c r="B12" s="1" t="s">
        <v>31</v>
      </c>
      <c r="C12" s="1" t="s">
        <v>32</v>
      </c>
      <c r="E12" s="1" t="s">
        <v>33</v>
      </c>
      <c r="G12" s="5" t="str">
        <f aca="false">IF(AND(D12=1,F12=1),1,"")</f>
        <v/>
      </c>
    </row>
    <row r="13" customFormat="false" ht="13.5" hidden="false" customHeight="true" outlineLevel="0" collapsed="false">
      <c r="G13" s="2" t="n">
        <f aca="false">SUM(G8:G12)</f>
        <v>0</v>
      </c>
    </row>
    <row r="14" customFormat="false" ht="13.5" hidden="false" customHeight="true" outlineLevel="0" collapsed="false">
      <c r="A14" s="1" t="s">
        <v>34</v>
      </c>
      <c r="B14" s="1" t="s">
        <v>35</v>
      </c>
      <c r="C14" s="1" t="s">
        <v>36</v>
      </c>
      <c r="E14" s="1" t="s">
        <v>9</v>
      </c>
      <c r="G14" s="5" t="str">
        <f aca="false">IF(AND(D14=1,F14=1),1,"")</f>
        <v/>
      </c>
    </row>
    <row r="15" customFormat="false" ht="13.5" hidden="false" customHeight="true" outlineLevel="0" collapsed="false">
      <c r="A15" s="1" t="s">
        <v>34</v>
      </c>
      <c r="B15" s="1" t="s">
        <v>37</v>
      </c>
      <c r="C15" s="1" t="s">
        <v>12</v>
      </c>
      <c r="E15" s="1" t="s">
        <v>9</v>
      </c>
      <c r="G15" s="5" t="str">
        <f aca="false">IF(AND(D15=1,F15=1),1,"")</f>
        <v/>
      </c>
    </row>
    <row r="16" customFormat="false" ht="13.5" hidden="false" customHeight="true" outlineLevel="0" collapsed="false">
      <c r="A16" s="1" t="s">
        <v>34</v>
      </c>
      <c r="B16" s="1" t="s">
        <v>38</v>
      </c>
      <c r="C16" s="1" t="s">
        <v>30</v>
      </c>
      <c r="E16" s="1" t="s">
        <v>39</v>
      </c>
      <c r="G16" s="5" t="str">
        <f aca="false">IF(AND(D16=1,F16=1),1,"")</f>
        <v/>
      </c>
    </row>
    <row r="17" customFormat="false" ht="13.5" hidden="false" customHeight="true" outlineLevel="0" collapsed="false">
      <c r="A17" s="1" t="s">
        <v>34</v>
      </c>
      <c r="B17" s="1" t="s">
        <v>40</v>
      </c>
      <c r="C17" s="1" t="s">
        <v>8</v>
      </c>
      <c r="E17" s="1" t="s">
        <v>41</v>
      </c>
      <c r="G17" s="5" t="str">
        <f aca="false">IF(AND(D17=1,F17=1),1,"")</f>
        <v/>
      </c>
    </row>
    <row r="18" customFormat="false" ht="13.5" hidden="false" customHeight="true" outlineLevel="0" collapsed="false">
      <c r="A18" s="1" t="s">
        <v>34</v>
      </c>
      <c r="B18" s="1" t="s">
        <v>42</v>
      </c>
      <c r="C18" s="1" t="s">
        <v>20</v>
      </c>
      <c r="E18" s="1" t="s">
        <v>29</v>
      </c>
      <c r="G18" s="5" t="str">
        <f aca="false">IF(AND(D18=1,F18=1),1,"")</f>
        <v/>
      </c>
    </row>
    <row r="19" customFormat="false" ht="13.5" hidden="false" customHeight="true" outlineLevel="0" collapsed="false">
      <c r="G19" s="2" t="n">
        <f aca="false">SUM(G14:G18)</f>
        <v>0</v>
      </c>
    </row>
    <row r="20" customFormat="false" ht="13.5" hidden="false" customHeight="true" outlineLevel="0" collapsed="false">
      <c r="A20" s="1" t="s">
        <v>43</v>
      </c>
      <c r="B20" s="1" t="s">
        <v>44</v>
      </c>
      <c r="C20" s="1" t="s">
        <v>29</v>
      </c>
      <c r="E20" s="1" t="s">
        <v>41</v>
      </c>
      <c r="G20" s="5" t="str">
        <f aca="false">IF(AND(D20=1,F20=1),1,"")</f>
        <v/>
      </c>
    </row>
    <row r="21" customFormat="false" ht="15.75" hidden="false" customHeight="true" outlineLevel="0" collapsed="false">
      <c r="A21" s="1" t="s">
        <v>43</v>
      </c>
      <c r="B21" s="1" t="s">
        <v>45</v>
      </c>
      <c r="C21" s="1" t="s">
        <v>46</v>
      </c>
      <c r="E21" s="1" t="s">
        <v>47</v>
      </c>
      <c r="G21" s="5" t="str">
        <f aca="false">IF(AND(D21=1,F21=1),1,"")</f>
        <v/>
      </c>
    </row>
    <row r="22" customFormat="false" ht="15.75" hidden="false" customHeight="true" outlineLevel="0" collapsed="false">
      <c r="A22" s="1" t="s">
        <v>43</v>
      </c>
      <c r="B22" s="1" t="s">
        <v>48</v>
      </c>
      <c r="C22" s="1" t="s">
        <v>29</v>
      </c>
      <c r="E22" s="1" t="s">
        <v>41</v>
      </c>
      <c r="G22" s="5" t="str">
        <f aca="false">IF(AND(D22=1,F22=1),1,"")</f>
        <v/>
      </c>
    </row>
    <row r="23" customFormat="false" ht="15.75" hidden="false" customHeight="true" outlineLevel="0" collapsed="false">
      <c r="A23" s="1" t="s">
        <v>43</v>
      </c>
      <c r="B23" s="1" t="s">
        <v>49</v>
      </c>
      <c r="C23" s="1" t="s">
        <v>41</v>
      </c>
      <c r="E23" s="1" t="s">
        <v>50</v>
      </c>
      <c r="G23" s="5" t="str">
        <f aca="false">IF(AND(D23=1,F23=1),1,"")</f>
        <v/>
      </c>
    </row>
    <row r="24" customFormat="false" ht="15.75" hidden="false" customHeight="true" outlineLevel="0" collapsed="false">
      <c r="A24" s="1" t="s">
        <v>43</v>
      </c>
      <c r="B24" s="1" t="s">
        <v>51</v>
      </c>
      <c r="C24" s="1" t="s">
        <v>19</v>
      </c>
      <c r="E24" s="1" t="s">
        <v>52</v>
      </c>
      <c r="G24" s="5" t="str">
        <f aca="false">IF(AND(D24=1,F24=1),1,"")</f>
        <v/>
      </c>
    </row>
    <row r="25" customFormat="false" ht="15.75" hidden="false" customHeight="true" outlineLevel="0" collapsed="false">
      <c r="G25" s="2" t="n">
        <f aca="false">SUM(G20:G24)</f>
        <v>0</v>
      </c>
    </row>
    <row r="26" customFormat="false" ht="15.75" hidden="false" customHeight="true" outlineLevel="0" collapsed="false">
      <c r="A26" s="1" t="s">
        <v>53</v>
      </c>
      <c r="B26" s="1" t="s">
        <v>54</v>
      </c>
      <c r="C26" s="1" t="s">
        <v>47</v>
      </c>
      <c r="E26" s="1" t="s">
        <v>9</v>
      </c>
      <c r="G26" s="5" t="str">
        <f aca="false">IF(AND(D26=1,F26=1),1,"")</f>
        <v/>
      </c>
    </row>
    <row r="27" customFormat="false" ht="15.75" hidden="false" customHeight="true" outlineLevel="0" collapsed="false">
      <c r="A27" s="1" t="s">
        <v>53</v>
      </c>
      <c r="B27" s="1" t="s">
        <v>55</v>
      </c>
      <c r="C27" s="1" t="s">
        <v>56</v>
      </c>
      <c r="E27" s="1" t="s">
        <v>24</v>
      </c>
      <c r="G27" s="5" t="str">
        <f aca="false">IF(AND(D27=1,F27=1),1,"")</f>
        <v/>
      </c>
    </row>
    <row r="28" customFormat="false" ht="15.75" hidden="false" customHeight="true" outlineLevel="0" collapsed="false">
      <c r="A28" s="1" t="s">
        <v>53</v>
      </c>
      <c r="B28" s="1" t="s">
        <v>57</v>
      </c>
      <c r="C28" s="1" t="s">
        <v>46</v>
      </c>
      <c r="E28" s="1" t="s">
        <v>58</v>
      </c>
      <c r="G28" s="5" t="str">
        <f aca="false">IF(AND(D28=1,F28=1),1,"")</f>
        <v/>
      </c>
    </row>
    <row r="29" customFormat="false" ht="15.75" hidden="false" customHeight="true" outlineLevel="0" collapsed="false">
      <c r="A29" s="1" t="s">
        <v>53</v>
      </c>
      <c r="B29" s="1" t="s">
        <v>59</v>
      </c>
      <c r="C29" s="1" t="s">
        <v>60</v>
      </c>
      <c r="E29" s="1" t="s">
        <v>61</v>
      </c>
      <c r="G29" s="5" t="str">
        <f aca="false">IF(AND(D29=1,F29=1),1,"")</f>
        <v/>
      </c>
    </row>
    <row r="30" customFormat="false" ht="15.75" hidden="false" customHeight="true" outlineLevel="0" collapsed="false">
      <c r="G30" s="2" t="n">
        <f aca="false">SUM(G26:G29)</f>
        <v>0</v>
      </c>
    </row>
    <row r="31" customFormat="false" ht="15.75" hidden="false" customHeight="true" outlineLevel="0" collapsed="false">
      <c r="A31" s="1" t="s">
        <v>62</v>
      </c>
      <c r="B31" s="1" t="s">
        <v>63</v>
      </c>
      <c r="C31" s="1" t="s">
        <v>64</v>
      </c>
      <c r="E31" s="1" t="s">
        <v>47</v>
      </c>
      <c r="G31" s="5" t="str">
        <f aca="false">IF(AND(D31=1,F31=1),1,"")</f>
        <v/>
      </c>
    </row>
    <row r="32" customFormat="false" ht="15.75" hidden="false" customHeight="true" outlineLevel="0" collapsed="false">
      <c r="A32" s="1" t="s">
        <v>62</v>
      </c>
      <c r="B32" s="1" t="s">
        <v>65</v>
      </c>
      <c r="C32" s="1" t="s">
        <v>66</v>
      </c>
      <c r="E32" s="1" t="s">
        <v>15</v>
      </c>
      <c r="G32" s="5" t="str">
        <f aca="false">IF(AND(D32=1,F32=1),1,"")</f>
        <v/>
      </c>
    </row>
    <row r="33" customFormat="false" ht="15.75" hidden="false" customHeight="true" outlineLevel="0" collapsed="false">
      <c r="A33" s="1" t="s">
        <v>62</v>
      </c>
      <c r="B33" s="1" t="s">
        <v>67</v>
      </c>
      <c r="C33" s="1" t="s">
        <v>41</v>
      </c>
      <c r="E33" s="1" t="s">
        <v>68</v>
      </c>
      <c r="G33" s="5" t="str">
        <f aca="false">IF(AND(D33=1,F33=1),1,"")</f>
        <v/>
      </c>
    </row>
    <row r="34" customFormat="false" ht="15.75" hidden="false" customHeight="true" outlineLevel="0" collapsed="false">
      <c r="A34" s="1" t="s">
        <v>62</v>
      </c>
      <c r="B34" s="1" t="s">
        <v>69</v>
      </c>
      <c r="C34" s="1" t="s">
        <v>9</v>
      </c>
      <c r="E34" s="1" t="s">
        <v>41</v>
      </c>
      <c r="G34" s="5" t="str">
        <f aca="false">IF(AND(D34=1,F34=1),1,"")</f>
        <v/>
      </c>
    </row>
    <row r="35" customFormat="false" ht="15.75" hidden="false" customHeight="true" outlineLevel="0" collapsed="false">
      <c r="G35" s="2" t="n">
        <f aca="false">SUM(G31:G34)</f>
        <v>0</v>
      </c>
    </row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2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9" activeCellId="0" sqref="G29"/>
    </sheetView>
  </sheetViews>
  <sheetFormatPr defaultColWidth="13.5234375" defaultRowHeight="12.75" zeroHeight="false" outlineLevelRow="0" outlineLevelCol="0"/>
  <cols>
    <col collapsed="false" customWidth="true" hidden="false" outlineLevel="0" max="1" min="1" style="1" width="21.26"/>
    <col collapsed="false" customWidth="true" hidden="false" outlineLevel="0" max="2" min="2" style="1" width="9.51"/>
    <col collapsed="false" customWidth="true" hidden="false" outlineLevel="0" max="14" min="3" style="1" width="10.19"/>
    <col collapsed="false" customWidth="true" hidden="false" outlineLevel="0" max="15" min="15" style="1" width="9.51"/>
    <col collapsed="false" customWidth="true" hidden="false" outlineLevel="0" max="16" min="16" style="1" width="12.75"/>
    <col collapsed="false" customWidth="true" hidden="false" outlineLevel="0" max="1024" min="999" style="1" width="11.52"/>
  </cols>
  <sheetData>
    <row r="1" s="6" customFormat="true" ht="1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6" s="6" customFormat="true" ht="16.5" hidden="false" customHeight="tru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</row>
    <row r="17" s="9" customFormat="true" ht="16.5" hidden="false" customHeight="tru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</row>
    <row r="18" customFormat="false" ht="16.5" hidden="false" customHeight="tru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customFormat="false" ht="16.5" hidden="false" customHeight="tru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customFormat="false" ht="16.5" hidden="false" customHeight="tru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customFormat="false" ht="16.5" hidden="false" customHeight="tru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 customFormat="false" ht="16.5" hidden="false" customHeight="tru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customFormat="false" ht="16.5" hidden="false" customHeight="tru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customFormat="false" ht="16.5" hidden="false" customHeight="tru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customFormat="false" ht="16.5" hidden="false" customHeight="tru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customFormat="false" ht="16.5" hidden="false" customHeight="tru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customFormat="false" ht="16.5" hidden="false" customHeight="tru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customFormat="false" ht="16.5" hidden="false" customHeight="tru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customFormat="false" ht="16.5" hidden="false" customHeight="tru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customFormat="false" ht="16.5" hidden="false" customHeight="tru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customFormat="false" ht="16.5" hidden="false" customHeight="tru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customFormat="false" ht="16.5" hidden="false" customHeight="tru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customFormat="false" ht="16.5" hidden="false" customHeight="tru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customFormat="false" ht="16.5" hidden="false" customHeight="tru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customFormat="false" ht="16.5" hidden="false" customHeight="tru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customFormat="false" ht="16.5" hidden="false" customHeight="tru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customFormat="false" ht="16.5" hidden="false" customHeight="tru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customFormat="false" ht="16.5" hidden="false" customHeight="tru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customFormat="false" ht="16.5" hidden="false" customHeight="tru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customFormat="false" ht="16.5" hidden="false" customHeight="tru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customFormat="false" ht="16.5" hidden="false" customHeight="tru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 customFormat="false" ht="16.5" hidden="false" customHeight="tru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customFormat="false" ht="16.5" hidden="false" customHeight="tru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customFormat="false" ht="16.5" hidden="false" customHeight="tru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="6" customFormat="true" ht="1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"/>
    </row>
    <row r="46" customFormat="false" ht="1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01" activeCellId="0" sqref="B101"/>
    </sheetView>
  </sheetViews>
  <sheetFormatPr defaultColWidth="13.5234375" defaultRowHeight="12.75" zeroHeight="false" outlineLevelRow="0" outlineLevelCol="0"/>
  <cols>
    <col collapsed="false" customWidth="true" hidden="false" outlineLevel="0" max="1" min="1" style="1" width="19.63"/>
    <col collapsed="false" customWidth="true" hidden="false" outlineLevel="0" max="2" min="2" style="1" width="11.5"/>
    <col collapsed="false" customWidth="true" hidden="false" outlineLevel="0" max="3" min="3" style="2" width="11.5"/>
    <col collapsed="false" customWidth="true" hidden="true" outlineLevel="0" max="4" min="4" style="1" width="11.5"/>
    <col collapsed="false" customWidth="true" hidden="false" outlineLevel="0" max="5" min="5" style="1" width="1.39"/>
    <col collapsed="false" customWidth="true" hidden="true" outlineLevel="0" max="6" min="6" style="1" width="11.5"/>
    <col collapsed="false" customWidth="true" hidden="false" outlineLevel="0" max="7" min="7" style="2" width="11.5"/>
    <col collapsed="false" customWidth="true" hidden="false" outlineLevel="0" max="8" min="8" style="1" width="11.5"/>
    <col collapsed="false" customWidth="true" hidden="false" outlineLevel="0" max="9" min="9" style="1" width="19.63"/>
    <col collapsed="false" customWidth="true" hidden="false" outlineLevel="0" max="13" min="10" style="1" width="11.5"/>
    <col collapsed="false" customWidth="true" hidden="false" outlineLevel="0" max="1024" min="1012" style="1" width="11.52"/>
  </cols>
  <sheetData>
    <row r="1" s="3" customFormat="true" ht="12.75" hidden="false" customHeight="true" outlineLevel="0" collapsed="false"/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 ffffff&amp;A</oddHeader>
    <oddFooter>&amp;C 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12.171875" defaultRowHeight="12.75" zeroHeight="false" outlineLevelRow="0" outlineLevelCol="0"/>
  <cols>
    <col collapsed="false" customWidth="true" hidden="false" outlineLevel="0" max="1" min="1" style="2" width="11.58"/>
    <col collapsed="false" customWidth="true" hidden="false" outlineLevel="0" max="2" min="2" style="1" width="22.62"/>
    <col collapsed="false" customWidth="true" hidden="false" outlineLevel="0" max="4" min="4" style="2" width="11.52"/>
    <col collapsed="false" customWidth="true" hidden="false" outlineLevel="0" max="8" min="5" style="2" width="11.84"/>
    <col collapsed="false" customWidth="true" hidden="false" outlineLevel="0" max="1021" min="1019" style="1" width="11.52"/>
    <col collapsed="false" customWidth="true" hidden="false" outlineLevel="0" max="1024" min="1022" style="0" width="11.52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2" t="s">
        <v>70</v>
      </c>
      <c r="C2" s="1"/>
      <c r="G2" s="0"/>
    </row>
    <row r="3" customFormat="false" ht="12.75" hidden="false" customHeight="true" outlineLevel="0" collapsed="false">
      <c r="A3" s="2" t="s">
        <v>71</v>
      </c>
      <c r="C3" s="1"/>
      <c r="G3" s="0"/>
    </row>
    <row r="4" customFormat="false" ht="12.75" hidden="false" customHeight="true" outlineLevel="0" collapsed="false">
      <c r="A4" s="2" t="s">
        <v>72</v>
      </c>
      <c r="C4" s="1"/>
      <c r="G4" s="0"/>
    </row>
    <row r="5" customFormat="false" ht="12.75" hidden="false" customHeight="true" outlineLevel="0" collapsed="false">
      <c r="A5" s="2" t="s">
        <v>73</v>
      </c>
      <c r="C5" s="1"/>
      <c r="G5" s="0"/>
    </row>
    <row r="6" customFormat="false" ht="12.75" hidden="false" customHeight="true" outlineLevel="0" collapsed="false">
      <c r="A6" s="0"/>
      <c r="C6" s="1"/>
      <c r="G6" s="0"/>
    </row>
    <row r="7" customFormat="false" ht="12.75" hidden="false" customHeight="false" outlineLevel="0" collapsed="false">
      <c r="A7" s="0"/>
      <c r="G7" s="0"/>
    </row>
    <row r="8" customFormat="false" ht="12.75" hidden="false" customHeight="true" outlineLevel="0" collapsed="false">
      <c r="A8" s="2" t="s">
        <v>74</v>
      </c>
      <c r="C8" s="1"/>
      <c r="G8" s="0"/>
    </row>
    <row r="9" customFormat="false" ht="12.75" hidden="false" customHeight="true" outlineLevel="0" collapsed="false">
      <c r="A9" s="2" t="s">
        <v>75</v>
      </c>
      <c r="C9" s="1"/>
      <c r="G9" s="0"/>
    </row>
    <row r="10" customFormat="false" ht="12.75" hidden="false" customHeight="true" outlineLevel="0" collapsed="false">
      <c r="A10" s="2" t="s">
        <v>76</v>
      </c>
      <c r="C10" s="1"/>
      <c r="G10" s="0"/>
    </row>
    <row r="11" customFormat="false" ht="12.75" hidden="false" customHeight="true" outlineLevel="0" collapsed="false">
      <c r="A11" s="2" t="s">
        <v>77</v>
      </c>
      <c r="C11" s="1"/>
      <c r="G11" s="0"/>
    </row>
    <row r="12" customFormat="false" ht="12.75" hidden="false" customHeight="true" outlineLevel="0" collapsed="false">
      <c r="A12" s="2" t="s">
        <v>78</v>
      </c>
      <c r="G12" s="0"/>
    </row>
    <row r="13" customFormat="false" ht="12.75" hidden="false" customHeight="true" outlineLevel="0" collapsed="false">
      <c r="C13" s="1"/>
      <c r="G13" s="0"/>
    </row>
    <row r="14" customFormat="false" ht="12.75" hidden="false" customHeight="false" outlineLevel="0" collapsed="false">
      <c r="G14" s="0"/>
    </row>
    <row r="15" customFormat="false" ht="12.75" hidden="false" customHeight="true" outlineLevel="0" collapsed="false">
      <c r="A15" s="2" t="s">
        <v>79</v>
      </c>
      <c r="G15" s="0"/>
    </row>
    <row r="16" customFormat="false" ht="12.75" hidden="false" customHeight="true" outlineLevel="0" collapsed="false">
      <c r="A16" s="2" t="s">
        <v>80</v>
      </c>
      <c r="C16" s="1"/>
      <c r="G16" s="0"/>
    </row>
    <row r="17" customFormat="false" ht="12.75" hidden="false" customHeight="true" outlineLevel="0" collapsed="false">
      <c r="A17" s="2" t="s">
        <v>81</v>
      </c>
      <c r="C17" s="1"/>
      <c r="G17" s="0"/>
    </row>
    <row r="18" customFormat="false" ht="12.75" hidden="false" customHeight="true" outlineLevel="0" collapsed="false">
      <c r="A18" s="2" t="s">
        <v>82</v>
      </c>
      <c r="C18" s="1"/>
      <c r="G18" s="0"/>
    </row>
    <row r="19" customFormat="false" ht="12.75" hidden="false" customHeight="true" outlineLevel="0" collapsed="false">
      <c r="A19" s="2" t="s">
        <v>83</v>
      </c>
      <c r="C19" s="1"/>
      <c r="G19" s="0"/>
    </row>
    <row r="20" customFormat="false" ht="12.75" hidden="false" customHeight="true" outlineLevel="0" collapsed="false">
      <c r="C20" s="1"/>
      <c r="G20" s="0"/>
    </row>
    <row r="21" customFormat="false" ht="12.75" hidden="false" customHeight="false" outlineLevel="0" collapsed="false">
      <c r="G21" s="0"/>
    </row>
    <row r="22" customFormat="false" ht="12.75" hidden="false" customHeight="true" outlineLevel="0" collapsed="false">
      <c r="A22" s="2" t="s">
        <v>84</v>
      </c>
      <c r="C22" s="1"/>
      <c r="G22" s="0"/>
    </row>
    <row r="23" customFormat="false" ht="12.75" hidden="false" customHeight="true" outlineLevel="0" collapsed="false">
      <c r="A23" s="2" t="s">
        <v>85</v>
      </c>
      <c r="C23" s="1"/>
      <c r="G23" s="0"/>
    </row>
    <row r="24" customFormat="false" ht="12.75" hidden="false" customHeight="true" outlineLevel="0" collapsed="false">
      <c r="A24" s="2" t="s">
        <v>86</v>
      </c>
      <c r="C24" s="1"/>
      <c r="G24" s="0"/>
    </row>
    <row r="25" customFormat="false" ht="12.75" hidden="false" customHeight="true" outlineLevel="0" collapsed="false">
      <c r="A25" s="2" t="s">
        <v>87</v>
      </c>
      <c r="C25" s="1"/>
      <c r="G25" s="0"/>
    </row>
    <row r="26" customFormat="false" ht="12.75" hidden="false" customHeight="true" outlineLevel="0" collapsed="false">
      <c r="A26" s="2" t="s">
        <v>88</v>
      </c>
      <c r="G26" s="0"/>
    </row>
    <row r="27" customFormat="false" ht="12.75" hidden="false" customHeight="true" outlineLevel="0" collapsed="false">
      <c r="C27" s="1"/>
      <c r="G27" s="0"/>
    </row>
    <row r="28" customFormat="false" ht="12.75" hidden="false" customHeight="true" outlineLevel="0" collapsed="false">
      <c r="G28" s="0"/>
    </row>
    <row r="29" customFormat="false" ht="12.75" hidden="false" customHeight="true" outlineLevel="0" collapsed="false">
      <c r="A29" s="2" t="s">
        <v>89</v>
      </c>
      <c r="C29" s="1"/>
      <c r="G29" s="0"/>
    </row>
    <row r="30" customFormat="false" ht="12.75" hidden="false" customHeight="true" outlineLevel="0" collapsed="false">
      <c r="A30" s="2" t="s">
        <v>90</v>
      </c>
      <c r="C30" s="1"/>
      <c r="G30" s="0"/>
    </row>
    <row r="31" customFormat="false" ht="12.75" hidden="false" customHeight="true" outlineLevel="0" collapsed="false">
      <c r="A31" s="2" t="s">
        <v>91</v>
      </c>
      <c r="C31" s="1"/>
      <c r="G31" s="0"/>
    </row>
    <row r="32" customFormat="false" ht="12.75" hidden="false" customHeight="true" outlineLevel="0" collapsed="false">
      <c r="A32" s="2" t="s">
        <v>92</v>
      </c>
      <c r="C32" s="1"/>
      <c r="G32" s="0"/>
    </row>
    <row r="33" customFormat="false" ht="12.75" hidden="false" customHeight="true" outlineLevel="0" collapsed="false">
      <c r="A33" s="2" t="s">
        <v>93</v>
      </c>
      <c r="C33" s="1"/>
      <c r="G33" s="0"/>
    </row>
    <row r="34" customFormat="false" ht="12.75" hidden="false" customHeight="true" outlineLevel="0" collapsed="false"/>
    <row r="35" customFormat="false" ht="12.75" hidden="false" customHeight="true" outlineLevel="0" collapsed="false">
      <c r="C35" s="1"/>
    </row>
    <row r="36" customFormat="false" ht="12.75" hidden="false" customHeight="true" outlineLevel="0" collapsed="false">
      <c r="A36" s="2" t="s">
        <v>94</v>
      </c>
      <c r="C36" s="1"/>
      <c r="G36" s="0"/>
    </row>
    <row r="37" customFormat="false" ht="12.75" hidden="false" customHeight="true" outlineLevel="0" collapsed="false">
      <c r="A37" s="2" t="s">
        <v>95</v>
      </c>
      <c r="C37" s="1"/>
      <c r="G37" s="0"/>
    </row>
    <row r="38" customFormat="false" ht="12.75" hidden="false" customHeight="true" outlineLevel="0" collapsed="false">
      <c r="A38" s="2" t="s">
        <v>96</v>
      </c>
      <c r="C38" s="1"/>
      <c r="G38" s="0"/>
    </row>
    <row r="39" customFormat="false" ht="12.75" hidden="false" customHeight="true" outlineLevel="0" collapsed="false">
      <c r="A39" s="2" t="s">
        <v>97</v>
      </c>
      <c r="C39" s="1"/>
      <c r="G39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1048576"/>
  <sheetViews>
    <sheetView showFormulas="false" showGridLines="true" showRowColHeaders="true" showZeros="true" rightToLeft="false" tabSelected="true" showOutlineSymbols="true" defaultGridColor="true" view="normal" topLeftCell="Q4" colorId="64" zoomScale="110" zoomScaleNormal="110" zoomScalePageLayoutView="100" workbookViewId="0">
      <selection pane="topLeft" activeCell="AE49" activeCellId="0" sqref="AE49"/>
    </sheetView>
  </sheetViews>
  <sheetFormatPr defaultColWidth="12.171875" defaultRowHeight="12.75" zeroHeight="false" outlineLevelRow="0" outlineLevelCol="0"/>
  <cols>
    <col collapsed="false" customWidth="true" hidden="false" outlineLevel="0" max="1" min="1" style="3" width="11.69"/>
    <col collapsed="false" customWidth="true" hidden="false" outlineLevel="0" max="2" min="2" style="1" width="25.52"/>
    <col collapsed="false" customWidth="true" hidden="false" outlineLevel="0" max="3" min="3" style="1" width="7.65"/>
    <col collapsed="false" customWidth="true" hidden="false" outlineLevel="0" max="6" min="4" style="2" width="5.1"/>
    <col collapsed="false" customWidth="true" hidden="false" outlineLevel="0" max="9" min="9" style="1" width="25.52"/>
    <col collapsed="false" customWidth="true" hidden="false" outlineLevel="0" max="10" min="10" style="1" width="7.65"/>
    <col collapsed="false" customWidth="true" hidden="false" outlineLevel="0" max="13" min="11" style="2" width="5.1"/>
    <col collapsed="false" customWidth="true" hidden="false" outlineLevel="0" max="16" min="16" style="1" width="25.52"/>
    <col collapsed="false" customWidth="true" hidden="false" outlineLevel="0" max="17" min="17" style="1" width="7.65"/>
    <col collapsed="false" customWidth="true" hidden="false" outlineLevel="0" max="20" min="18" style="2" width="5.1"/>
    <col collapsed="false" customWidth="true" hidden="false" outlineLevel="0" max="23" min="23" style="0" width="25.52"/>
    <col collapsed="false" customWidth="true" hidden="false" outlineLevel="0" max="24" min="24" style="0" width="7.65"/>
    <col collapsed="false" customWidth="true" hidden="false" outlineLevel="0" max="27" min="25" style="0" width="5.1"/>
    <col collapsed="false" customWidth="true" hidden="false" outlineLevel="0" max="30" min="30" style="0" width="25.52"/>
    <col collapsed="false" customWidth="true" hidden="false" outlineLevel="0" max="31" min="31" style="0" width="7.65"/>
    <col collapsed="false" customWidth="true" hidden="false" outlineLevel="0" max="34" min="32" style="0" width="5.1"/>
  </cols>
  <sheetData>
    <row r="1" customFormat="false" ht="12.8" hidden="false" customHeight="true" outlineLevel="0" collapsed="false">
      <c r="A1" s="12" t="s">
        <v>98</v>
      </c>
      <c r="B1" s="13"/>
      <c r="C1" s="13"/>
      <c r="D1" s="14"/>
      <c r="E1" s="14"/>
      <c r="F1" s="14"/>
      <c r="G1" s="13"/>
      <c r="H1" s="13"/>
      <c r="I1" s="13"/>
      <c r="J1" s="13"/>
      <c r="K1" s="14"/>
      <c r="L1" s="14"/>
      <c r="M1" s="14"/>
      <c r="N1" s="13"/>
      <c r="O1" s="13"/>
      <c r="P1" s="13"/>
      <c r="Q1" s="13"/>
      <c r="R1" s="14"/>
      <c r="S1" s="14"/>
      <c r="T1" s="15"/>
    </row>
    <row r="2" customFormat="false" ht="12.75" hidden="false" customHeight="true" outlineLevel="0" collapsed="false">
      <c r="A2" s="12"/>
      <c r="B2" s="16"/>
      <c r="C2" s="16"/>
      <c r="D2" s="17"/>
      <c r="E2" s="17"/>
      <c r="F2" s="17"/>
      <c r="G2" s="16"/>
      <c r="H2" s="16"/>
      <c r="I2" s="16"/>
      <c r="J2" s="16"/>
      <c r="K2" s="17"/>
      <c r="L2" s="17"/>
      <c r="M2" s="17"/>
      <c r="N2" s="16"/>
      <c r="O2" s="16"/>
      <c r="P2" s="16"/>
      <c r="Q2" s="16"/>
      <c r="R2" s="17"/>
      <c r="S2" s="17"/>
      <c r="T2" s="18"/>
    </row>
    <row r="3" customFormat="false" ht="13.5" hidden="false" customHeight="true" outlineLevel="0" collapsed="false">
      <c r="A3" s="12"/>
      <c r="B3" s="19" t="n">
        <f aca="false">VLOOKUP("a1", quali_results!$A$1:$C$40,2,0)</f>
        <v>0</v>
      </c>
      <c r="C3" s="19" t="n">
        <f aca="false">VLOOKUP("a1", quali_results!$A$1:$C$40,3,0)</f>
        <v>0</v>
      </c>
      <c r="D3" s="20"/>
      <c r="E3" s="21"/>
      <c r="F3" s="21"/>
      <c r="G3" s="22" t="n">
        <f aca="false">SUM(D3:F3)</f>
        <v>0</v>
      </c>
      <c r="H3" s="22"/>
      <c r="I3" s="22"/>
      <c r="J3" s="22"/>
      <c r="K3" s="23"/>
      <c r="L3" s="23"/>
      <c r="M3" s="23"/>
      <c r="T3" s="18"/>
    </row>
    <row r="4" customFormat="false" ht="13.5" hidden="false" customHeight="true" outlineLevel="0" collapsed="false">
      <c r="A4" s="12"/>
      <c r="B4" s="24" t="n">
        <f aca="false">VLOOKUP("c2", quali_results!$A$1:$C$40,2,0)</f>
        <v>0</v>
      </c>
      <c r="C4" s="24" t="n">
        <f aca="false">VLOOKUP("c2", quali_results!$A$1:$C$40,3,0)</f>
        <v>0</v>
      </c>
      <c r="D4" s="25"/>
      <c r="E4" s="21"/>
      <c r="F4" s="21"/>
      <c r="G4" s="26" t="n">
        <f aca="false">SUM(D4:F4)</f>
        <v>0</v>
      </c>
      <c r="H4" s="22"/>
      <c r="I4" s="22"/>
      <c r="J4" s="22"/>
      <c r="K4" s="23"/>
      <c r="L4" s="23"/>
      <c r="M4" s="23"/>
      <c r="T4" s="18"/>
    </row>
    <row r="5" customFormat="false" ht="13.5" hidden="false" customHeight="true" outlineLevel="0" collapsed="false">
      <c r="A5" s="12"/>
      <c r="B5" s="22"/>
      <c r="C5" s="22"/>
      <c r="D5" s="23"/>
      <c r="E5" s="23"/>
      <c r="F5" s="23"/>
      <c r="G5" s="27"/>
      <c r="H5" s="28"/>
      <c r="I5" s="29" t="str">
        <f aca="false">IF($G3&gt;$G4,B3,IF($G3&lt;$G4,B4,""))</f>
        <v/>
      </c>
      <c r="J5" s="29" t="str">
        <f aca="false">IF($G3&gt;$G4,C3,IF($G3&lt;$G4,C4,""))</f>
        <v/>
      </c>
      <c r="K5" s="20"/>
      <c r="L5" s="21"/>
      <c r="M5" s="21"/>
      <c r="N5" s="28" t="n">
        <f aca="false">SUM(K5:M5)</f>
        <v>0</v>
      </c>
      <c r="T5" s="18"/>
    </row>
    <row r="6" customFormat="false" ht="13.5" hidden="false" customHeight="true" outlineLevel="0" collapsed="false">
      <c r="A6" s="12"/>
      <c r="B6" s="22"/>
      <c r="C6" s="22"/>
      <c r="D6" s="23"/>
      <c r="E6" s="23"/>
      <c r="F6" s="23"/>
      <c r="G6" s="27"/>
      <c r="H6" s="22"/>
      <c r="I6" s="30" t="str">
        <f aca="false">IF($G7&gt;$G8,B7,IF($G7&lt;$G8,B8,""))</f>
        <v/>
      </c>
      <c r="J6" s="30" t="str">
        <f aca="false">IF($G7&gt;$G8,C7,IF($G7&lt;$G8,C8,""))</f>
        <v/>
      </c>
      <c r="K6" s="25"/>
      <c r="L6" s="21"/>
      <c r="M6" s="21"/>
      <c r="N6" s="27" t="n">
        <f aca="false">SUM(K6:M6)</f>
        <v>0</v>
      </c>
      <c r="T6" s="18"/>
    </row>
    <row r="7" customFormat="false" ht="13.5" hidden="false" customHeight="true" outlineLevel="0" collapsed="false">
      <c r="A7" s="12"/>
      <c r="B7" s="19" t="n">
        <f aca="false">VLOOKUP("a2", quali_results!$A$1:$C$40,2,0)</f>
        <v>0</v>
      </c>
      <c r="C7" s="19" t="n">
        <f aca="false">VLOOKUP("a2", quali_results!$A$1:$C$40,3,0)</f>
        <v>0</v>
      </c>
      <c r="D7" s="20"/>
      <c r="E7" s="21"/>
      <c r="F7" s="21"/>
      <c r="G7" s="31" t="n">
        <f aca="false">SUM(D7:F7)</f>
        <v>0</v>
      </c>
      <c r="H7" s="22"/>
      <c r="I7" s="22"/>
      <c r="J7" s="22"/>
      <c r="K7" s="23"/>
      <c r="L7" s="23"/>
      <c r="M7" s="23"/>
      <c r="N7" s="27"/>
      <c r="P7" s="22"/>
      <c r="Q7" s="22"/>
      <c r="R7" s="23"/>
      <c r="S7" s="23"/>
      <c r="T7" s="32"/>
    </row>
    <row r="8" customFormat="false" ht="13.5" hidden="false" customHeight="true" outlineLevel="0" collapsed="false">
      <c r="A8" s="12"/>
      <c r="B8" s="24" t="n">
        <f aca="false">VLOOKUP("c1", quali_results!$A$1:$C$40,2,0)</f>
        <v>0</v>
      </c>
      <c r="C8" s="24" t="n">
        <f aca="false">VLOOKUP("c1", quali_results!$A$1:$C$40,3,0)</f>
        <v>0</v>
      </c>
      <c r="D8" s="25"/>
      <c r="E8" s="21"/>
      <c r="F8" s="21"/>
      <c r="G8" s="22" t="n">
        <f aca="false">SUM(D8:F8)</f>
        <v>0</v>
      </c>
      <c r="H8" s="22"/>
      <c r="I8" s="22"/>
      <c r="J8" s="22"/>
      <c r="K8" s="23"/>
      <c r="L8" s="23"/>
      <c r="M8" s="23"/>
      <c r="N8" s="27"/>
      <c r="O8" s="28"/>
      <c r="P8" s="29" t="str">
        <f aca="false">IF($N5&gt;$N6,I5,IF($N5&lt;$N6,I6,""))</f>
        <v/>
      </c>
      <c r="Q8" s="29" t="str">
        <f aca="false">IF($N5&gt;$N6,J5,IF($N5&lt;$N6,J6,""))</f>
        <v/>
      </c>
      <c r="R8" s="20"/>
      <c r="S8" s="21"/>
      <c r="T8" s="21"/>
      <c r="U8" s="0" t="n">
        <f aca="false">SUM(R8:T8)</f>
        <v>0</v>
      </c>
    </row>
    <row r="9" customFormat="false" ht="13.5" hidden="false" customHeight="true" outlineLevel="0" collapsed="false">
      <c r="A9" s="12"/>
      <c r="N9" s="27"/>
      <c r="P9" s="30" t="str">
        <f aca="false">IF($N13&gt;$N14,I13,IF($N13&lt;$N14,I14,""))</f>
        <v/>
      </c>
      <c r="Q9" s="30" t="str">
        <f aca="false">IF($N13&gt;$N14,J13,IF($N13&lt;$N14,J14,""))</f>
        <v/>
      </c>
      <c r="R9" s="25"/>
      <c r="S9" s="21"/>
      <c r="T9" s="21"/>
      <c r="U9" s="0" t="n">
        <f aca="false">SUM(R9:T9)</f>
        <v>0</v>
      </c>
    </row>
    <row r="10" customFormat="false" ht="13.5" hidden="false" customHeight="true" outlineLevel="0" collapsed="false">
      <c r="A10" s="12"/>
      <c r="N10" s="27"/>
      <c r="P10" s="22"/>
      <c r="Q10" s="22"/>
      <c r="R10" s="23"/>
      <c r="S10" s="23"/>
      <c r="T10" s="32"/>
    </row>
    <row r="11" customFormat="false" ht="13.5" hidden="false" customHeight="true" outlineLevel="0" collapsed="false">
      <c r="A11" s="12"/>
      <c r="B11" s="19" t="n">
        <f aca="false">VLOOKUP("b1", quali_results!$A$1:$C$40,2,0)</f>
        <v>0</v>
      </c>
      <c r="C11" s="19" t="n">
        <f aca="false">VLOOKUP("b1", quali_results!$A$1:$C$40,3,0)</f>
        <v>0</v>
      </c>
      <c r="D11" s="20"/>
      <c r="E11" s="21"/>
      <c r="F11" s="21"/>
      <c r="G11" s="22" t="n">
        <f aca="false">SUM(D11:F11)</f>
        <v>0</v>
      </c>
      <c r="H11" s="22"/>
      <c r="I11" s="22"/>
      <c r="J11" s="22"/>
      <c r="K11" s="23"/>
      <c r="L11" s="23"/>
      <c r="M11" s="23"/>
      <c r="N11" s="27"/>
      <c r="O11" s="28"/>
      <c r="P11" s="29" t="str">
        <f aca="false">IF($N5&gt;$N6,I6,IF($N5&lt;$N6,I5,""))</f>
        <v/>
      </c>
      <c r="Q11" s="29" t="str">
        <f aca="false">IF($N5&gt;$N6,J6,IF($N5&lt;$N6,J5,""))</f>
        <v/>
      </c>
      <c r="R11" s="20"/>
      <c r="S11" s="21"/>
      <c r="T11" s="21"/>
      <c r="U11" s="0" t="n">
        <f aca="false">SUM(R11:T11)</f>
        <v>0</v>
      </c>
    </row>
    <row r="12" customFormat="false" ht="13.5" hidden="false" customHeight="true" outlineLevel="0" collapsed="false">
      <c r="A12" s="12"/>
      <c r="B12" s="24" t="n">
        <f aca="false">VLOOKUP("d2", quali_results!$A$1:$C$40,2,0)</f>
        <v>0</v>
      </c>
      <c r="C12" s="24" t="n">
        <f aca="false">VLOOKUP("d2", quali_results!$A$1:$C$40,3,0)</f>
        <v>0</v>
      </c>
      <c r="D12" s="25"/>
      <c r="E12" s="21"/>
      <c r="F12" s="21"/>
      <c r="G12" s="26" t="n">
        <f aca="false">SUM(D12:F12)</f>
        <v>0</v>
      </c>
      <c r="H12" s="22"/>
      <c r="I12" s="22"/>
      <c r="J12" s="22"/>
      <c r="K12" s="23"/>
      <c r="L12" s="23"/>
      <c r="M12" s="23"/>
      <c r="N12" s="27"/>
      <c r="P12" s="30" t="str">
        <f aca="false">IF($N13&gt;$N14,I14,IF($N13&lt;$N14,I13,""))</f>
        <v/>
      </c>
      <c r="Q12" s="30" t="str">
        <f aca="false">IF($N13&gt;$N14,J14,IF($N13&lt;$N14,J13,""))</f>
        <v/>
      </c>
      <c r="R12" s="25"/>
      <c r="S12" s="21"/>
      <c r="T12" s="21"/>
      <c r="U12" s="0" t="n">
        <f aca="false">SUM(R12:T12)</f>
        <v>0</v>
      </c>
    </row>
    <row r="13" customFormat="false" ht="13.5" hidden="false" customHeight="true" outlineLevel="0" collapsed="false">
      <c r="A13" s="12"/>
      <c r="B13" s="22"/>
      <c r="C13" s="22"/>
      <c r="D13" s="23"/>
      <c r="E13" s="23"/>
      <c r="F13" s="23"/>
      <c r="G13" s="27"/>
      <c r="H13" s="28"/>
      <c r="I13" s="29" t="str">
        <f aca="false">IF($G11&gt;$G12,B11,IF($G11&lt;$G12,B12,""))</f>
        <v/>
      </c>
      <c r="J13" s="29" t="str">
        <f aca="false">IF($G11&gt;$G12,C11,IF($G11&lt;$G12,C12,""))</f>
        <v/>
      </c>
      <c r="K13" s="20"/>
      <c r="L13" s="21"/>
      <c r="M13" s="21"/>
      <c r="N13" s="31" t="n">
        <f aca="false">SUM(K13:M13)</f>
        <v>0</v>
      </c>
      <c r="P13" s="22"/>
      <c r="Q13" s="22"/>
      <c r="R13" s="23"/>
      <c r="S13" s="23"/>
      <c r="T13" s="32"/>
    </row>
    <row r="14" customFormat="false" ht="13.5" hidden="false" customHeight="true" outlineLevel="0" collapsed="false">
      <c r="A14" s="12"/>
      <c r="B14" s="22"/>
      <c r="C14" s="22"/>
      <c r="D14" s="23"/>
      <c r="E14" s="23"/>
      <c r="F14" s="23"/>
      <c r="G14" s="27"/>
      <c r="H14" s="22"/>
      <c r="I14" s="30" t="str">
        <f aca="false">IF($G15&gt;$G16,B15,IF($G15&lt;$G16,B16,""))</f>
        <v/>
      </c>
      <c r="J14" s="30" t="str">
        <f aca="false">IF($G15&gt;$G16,C15,IF($G15&lt;$G16,C16,""))</f>
        <v/>
      </c>
      <c r="K14" s="25"/>
      <c r="L14" s="21"/>
      <c r="M14" s="21"/>
      <c r="N14" s="0" t="n">
        <f aca="false">SUM(K14:M14)</f>
        <v>0</v>
      </c>
      <c r="T14" s="18"/>
    </row>
    <row r="15" customFormat="false" ht="13.5" hidden="false" customHeight="true" outlineLevel="0" collapsed="false">
      <c r="A15" s="12"/>
      <c r="B15" s="19" t="n">
        <f aca="false">VLOOKUP("b2", quali_results!$A$1:$C$40,2,0)</f>
        <v>0</v>
      </c>
      <c r="C15" s="19" t="n">
        <f aca="false">VLOOKUP("b2", quali_results!$A$1:$C$40,3,0)</f>
        <v>0</v>
      </c>
      <c r="D15" s="20"/>
      <c r="E15" s="21"/>
      <c r="F15" s="21"/>
      <c r="G15" s="31" t="n">
        <f aca="false">SUM(D15:F15)</f>
        <v>0</v>
      </c>
      <c r="H15" s="22"/>
      <c r="I15" s="22"/>
      <c r="J15" s="22"/>
      <c r="K15" s="23"/>
      <c r="L15" s="23"/>
      <c r="M15" s="23"/>
      <c r="T15" s="18"/>
    </row>
    <row r="16" customFormat="false" ht="13.5" hidden="false" customHeight="true" outlineLevel="0" collapsed="false">
      <c r="A16" s="12"/>
      <c r="B16" s="24" t="n">
        <f aca="false">VLOOKUP("d1", quali_results!$A$1:$C$40,2,0)</f>
        <v>0</v>
      </c>
      <c r="C16" s="24" t="n">
        <f aca="false">VLOOKUP("d1", quali_results!$A$1:$C$40,3,0)</f>
        <v>0</v>
      </c>
      <c r="D16" s="25"/>
      <c r="E16" s="21"/>
      <c r="F16" s="21"/>
      <c r="G16" s="22" t="n">
        <f aca="false">SUM(D16:F16)</f>
        <v>0</v>
      </c>
      <c r="H16" s="22"/>
      <c r="I16" s="22"/>
      <c r="J16" s="22"/>
      <c r="K16" s="23"/>
      <c r="L16" s="23"/>
      <c r="M16" s="23"/>
      <c r="T16" s="18"/>
    </row>
    <row r="17" customFormat="false" ht="12.75" hidden="false" customHeight="true" outlineLevel="0" collapsed="false">
      <c r="A17" s="12"/>
      <c r="T17" s="18"/>
    </row>
    <row r="18" customFormat="false" ht="12.75" hidden="false" customHeight="true" outlineLevel="0" collapsed="false">
      <c r="A18" s="12"/>
      <c r="B18" s="33"/>
      <c r="C18" s="33"/>
      <c r="D18" s="34"/>
      <c r="E18" s="34"/>
      <c r="F18" s="34"/>
      <c r="G18" s="33"/>
      <c r="H18" s="33"/>
      <c r="I18" s="33"/>
      <c r="J18" s="33"/>
      <c r="K18" s="34"/>
      <c r="L18" s="34"/>
      <c r="M18" s="34"/>
      <c r="N18" s="33"/>
      <c r="O18" s="33"/>
      <c r="P18" s="33"/>
      <c r="Q18" s="33"/>
      <c r="R18" s="34"/>
      <c r="S18" s="34"/>
      <c r="T18" s="35"/>
    </row>
    <row r="19" customFormat="false" ht="12.75" hidden="false" customHeight="false" outlineLevel="0" collapsed="false">
      <c r="A19" s="12" t="s">
        <v>99</v>
      </c>
      <c r="U19" s="36"/>
      <c r="V19" s="36"/>
      <c r="W19" s="36"/>
      <c r="X19" s="36"/>
      <c r="Y19" s="36"/>
      <c r="Z19" s="36"/>
      <c r="AA19" s="37"/>
    </row>
    <row r="20" customFormat="false" ht="12.75" hidden="false" customHeight="false" outlineLevel="0" collapsed="false">
      <c r="A20" s="12"/>
      <c r="W20" s="1"/>
      <c r="X20" s="1"/>
      <c r="Y20" s="2"/>
      <c r="Z20" s="2"/>
      <c r="AA20" s="18"/>
    </row>
    <row r="21" customFormat="false" ht="13.8" hidden="false" customHeight="false" outlineLevel="0" collapsed="false">
      <c r="A21" s="12"/>
      <c r="I21" s="19" t="n">
        <f aca="false">VLOOKUP("a3", quali_results!$A$1:$C$40,2,0)</f>
        <v>0</v>
      </c>
      <c r="J21" s="19" t="n">
        <f aca="false">VLOOKUP("a3", quali_results!$A$1:$C$40,3,0)</f>
        <v>0</v>
      </c>
      <c r="K21" s="20"/>
      <c r="L21" s="21"/>
      <c r="M21" s="21"/>
      <c r="N21" s="22" t="n">
        <f aca="false">SUM(K21:M21)</f>
        <v>0</v>
      </c>
      <c r="O21" s="22"/>
      <c r="P21" s="22"/>
      <c r="Q21" s="22"/>
      <c r="R21" s="23"/>
      <c r="S21" s="23"/>
      <c r="T21" s="23"/>
      <c r="W21" s="1"/>
      <c r="X21" s="1"/>
      <c r="Y21" s="2"/>
      <c r="Z21" s="2"/>
      <c r="AA21" s="18"/>
    </row>
    <row r="22" customFormat="false" ht="13.8" hidden="false" customHeight="false" outlineLevel="0" collapsed="false">
      <c r="A22" s="12"/>
      <c r="I22" s="24" t="str">
        <f aca="false">IF($G11&gt;$G12,B12,IF($G11&lt;$G12,B11,""))</f>
        <v/>
      </c>
      <c r="J22" s="30" t="str">
        <f aca="false">IF($G11&gt;$G12,C12,IF($G11&lt;$G12,C11,""))</f>
        <v/>
      </c>
      <c r="K22" s="25"/>
      <c r="L22" s="21"/>
      <c r="M22" s="21"/>
      <c r="N22" s="26" t="n">
        <f aca="false">SUM(K22:M22)</f>
        <v>0</v>
      </c>
      <c r="O22" s="22"/>
      <c r="P22" s="22"/>
      <c r="Q22" s="22"/>
      <c r="R22" s="23"/>
      <c r="S22" s="23"/>
      <c r="T22" s="23"/>
      <c r="W22" s="1"/>
      <c r="X22" s="1"/>
      <c r="Y22" s="2"/>
      <c r="Z22" s="2"/>
      <c r="AA22" s="18"/>
    </row>
    <row r="23" customFormat="false" ht="13.8" hidden="false" customHeight="false" outlineLevel="0" collapsed="false">
      <c r="A23" s="12"/>
      <c r="I23" s="22"/>
      <c r="J23" s="22"/>
      <c r="K23" s="23"/>
      <c r="L23" s="23"/>
      <c r="M23" s="23"/>
      <c r="N23" s="27"/>
      <c r="O23" s="28"/>
      <c r="P23" s="29" t="str">
        <f aca="false">IF($N21&gt;$N22,I21,IF($N21&lt;$N22,I22,""))</f>
        <v/>
      </c>
      <c r="Q23" s="29" t="str">
        <f aca="false">IF($N21&gt;$N22,J21,IF($N21&lt;$N22,J22,""))</f>
        <v/>
      </c>
      <c r="R23" s="20"/>
      <c r="S23" s="21"/>
      <c r="T23" s="21"/>
      <c r="U23" s="28" t="n">
        <f aca="false">SUM(R23:T23)</f>
        <v>0</v>
      </c>
      <c r="W23" s="1"/>
      <c r="X23" s="1"/>
      <c r="Y23" s="2"/>
      <c r="Z23" s="2"/>
      <c r="AA23" s="18"/>
    </row>
    <row r="24" customFormat="false" ht="13.8" hidden="false" customHeight="false" outlineLevel="0" collapsed="false">
      <c r="A24" s="12"/>
      <c r="I24" s="22"/>
      <c r="J24" s="22"/>
      <c r="K24" s="23"/>
      <c r="L24" s="23"/>
      <c r="M24" s="23"/>
      <c r="N24" s="27"/>
      <c r="O24" s="22"/>
      <c r="P24" s="30" t="str">
        <f aca="false">IF($N25&gt;$N26,I25,IF($N25&lt;$N26,I26,""))</f>
        <v/>
      </c>
      <c r="Q24" s="30" t="str">
        <f aca="false">IF($N25&gt;$N26,J25,IF($N25&lt;$N26,J26,""))</f>
        <v/>
      </c>
      <c r="R24" s="25"/>
      <c r="S24" s="21"/>
      <c r="T24" s="21"/>
      <c r="U24" s="27" t="n">
        <f aca="false">SUM(R24:T24)</f>
        <v>0</v>
      </c>
      <c r="W24" s="1"/>
      <c r="X24" s="1"/>
      <c r="Y24" s="2"/>
      <c r="Z24" s="2"/>
      <c r="AA24" s="18"/>
    </row>
    <row r="25" customFormat="false" ht="13.8" hidden="false" customHeight="false" outlineLevel="0" collapsed="false">
      <c r="A25" s="12"/>
      <c r="I25" s="19" t="n">
        <f aca="false">VLOOKUP("b3", quali_results!$A$1:$C$40,2,0)</f>
        <v>0</v>
      </c>
      <c r="J25" s="19" t="n">
        <f aca="false">VLOOKUP("b3", quali_results!$A$1:$C$40,3,0)</f>
        <v>0</v>
      </c>
      <c r="K25" s="20"/>
      <c r="L25" s="21"/>
      <c r="M25" s="21"/>
      <c r="N25" s="31" t="n">
        <f aca="false">SUM(K25:M25)</f>
        <v>0</v>
      </c>
      <c r="O25" s="22"/>
      <c r="P25" s="22"/>
      <c r="Q25" s="22"/>
      <c r="R25" s="23"/>
      <c r="S25" s="23"/>
      <c r="T25" s="23"/>
      <c r="U25" s="27"/>
      <c r="W25" s="22"/>
      <c r="X25" s="22"/>
      <c r="Y25" s="23"/>
      <c r="Z25" s="23"/>
      <c r="AA25" s="32"/>
    </row>
    <row r="26" customFormat="false" ht="13.8" hidden="false" customHeight="false" outlineLevel="0" collapsed="false">
      <c r="A26" s="12"/>
      <c r="I26" s="30" t="str">
        <f aca="false">IF($G3&gt;$G4,B4,IF($G3&lt;$G4,B3,""))</f>
        <v/>
      </c>
      <c r="J26" s="30" t="str">
        <f aca="false">IF($G3&gt;$G4,C4,IF($G3&lt;$G4,C3,""))</f>
        <v/>
      </c>
      <c r="K26" s="25"/>
      <c r="L26" s="21"/>
      <c r="M26" s="21"/>
      <c r="N26" s="22" t="n">
        <f aca="false">SUM(K26:M26)</f>
        <v>0</v>
      </c>
      <c r="O26" s="22"/>
      <c r="P26" s="22"/>
      <c r="Q26" s="22"/>
      <c r="R26" s="23"/>
      <c r="S26" s="23"/>
      <c r="T26" s="23"/>
      <c r="U26" s="27"/>
      <c r="V26" s="28"/>
      <c r="W26" s="29" t="str">
        <f aca="false">IF($U23&gt;$U24,P23,IF($U23&lt;$U24,P24,""))</f>
        <v/>
      </c>
      <c r="X26" s="29" t="str">
        <f aca="false">IF($U23&gt;$U24,Q23,IF($U23&lt;$U24,Q24,""))</f>
        <v/>
      </c>
      <c r="Y26" s="20"/>
      <c r="Z26" s="21"/>
      <c r="AA26" s="21"/>
      <c r="AB26" s="0" t="n">
        <f aca="false">SUM(Y26:AA26)</f>
        <v>0</v>
      </c>
    </row>
    <row r="27" customFormat="false" ht="13.8" hidden="false" customHeight="false" outlineLevel="0" collapsed="false">
      <c r="A27" s="12"/>
      <c r="U27" s="27"/>
      <c r="W27" s="30" t="str">
        <f aca="false">IF($U31&gt;$U32,P31,IF($U31&lt;$U32,P32,""))</f>
        <v/>
      </c>
      <c r="X27" s="30" t="str">
        <f aca="false">IF($U31&gt;$U32,Q31,IF($U31&lt;$U32,Q32,""))</f>
        <v/>
      </c>
      <c r="Y27" s="25"/>
      <c r="Z27" s="21"/>
      <c r="AA27" s="21"/>
      <c r="AB27" s="0" t="n">
        <f aca="false">SUM(Y27:AA27)</f>
        <v>0</v>
      </c>
    </row>
    <row r="28" customFormat="false" ht="13.8" hidden="false" customHeight="false" outlineLevel="0" collapsed="false">
      <c r="A28" s="12"/>
      <c r="U28" s="27"/>
      <c r="W28" s="22"/>
      <c r="X28" s="22"/>
      <c r="Y28" s="23"/>
      <c r="Z28" s="23"/>
      <c r="AA28" s="32"/>
    </row>
    <row r="29" customFormat="false" ht="13.8" hidden="false" customHeight="false" outlineLevel="0" collapsed="false">
      <c r="A29" s="12"/>
      <c r="I29" s="19" t="n">
        <f aca="false">VLOOKUP("c3", quali_results!$A$1:$C$40,2,0)</f>
        <v>0</v>
      </c>
      <c r="J29" s="19" t="n">
        <f aca="false">VLOOKUP("c3", quali_results!$A$1:$C$40,3,0)</f>
        <v>0</v>
      </c>
      <c r="K29" s="20"/>
      <c r="L29" s="21"/>
      <c r="M29" s="21"/>
      <c r="N29" s="22" t="n">
        <f aca="false">SUM(K29:M29)</f>
        <v>0</v>
      </c>
      <c r="O29" s="22"/>
      <c r="P29" s="22"/>
      <c r="Q29" s="22"/>
      <c r="R29" s="23"/>
      <c r="S29" s="23"/>
      <c r="T29" s="23"/>
      <c r="U29" s="27"/>
      <c r="V29" s="28"/>
      <c r="W29" s="29" t="str">
        <f aca="false">IF($U23&gt;$U24,P24,IF($U23&lt;$U24,P23,""))</f>
        <v/>
      </c>
      <c r="X29" s="29" t="str">
        <f aca="false">IF($U23&gt;$U24,Q24,IF($U23&lt;$U24,Q23,""))</f>
        <v/>
      </c>
      <c r="Y29" s="20"/>
      <c r="Z29" s="21"/>
      <c r="AA29" s="21"/>
      <c r="AB29" s="0" t="n">
        <f aca="false">SUM(Y29:AA29)</f>
        <v>0</v>
      </c>
    </row>
    <row r="30" customFormat="false" ht="13.8" hidden="false" customHeight="false" outlineLevel="0" collapsed="false">
      <c r="A30" s="12"/>
      <c r="I30" s="30" t="str">
        <f aca="false">IF($G15&gt;$G16,B16,IF($G15&lt;$G16,B15,""))</f>
        <v/>
      </c>
      <c r="J30" s="30" t="str">
        <f aca="false">IF($G15&gt;$G16,C16,IF($G15&lt;$G16,C15,""))</f>
        <v/>
      </c>
      <c r="K30" s="25"/>
      <c r="L30" s="21"/>
      <c r="M30" s="21"/>
      <c r="N30" s="26" t="n">
        <f aca="false">SUM(K30:M30)</f>
        <v>0</v>
      </c>
      <c r="O30" s="22"/>
      <c r="P30" s="22"/>
      <c r="Q30" s="22"/>
      <c r="R30" s="23"/>
      <c r="S30" s="23"/>
      <c r="T30" s="23"/>
      <c r="U30" s="27"/>
      <c r="W30" s="30" t="str">
        <f aca="false">IF($U31&gt;$U32,P32,IF($U31&lt;$U32,P31,""))</f>
        <v/>
      </c>
      <c r="X30" s="30" t="str">
        <f aca="false">IF($U31&gt;$U32,Q32,IF($U31&lt;$U32,Q31,""))</f>
        <v/>
      </c>
      <c r="Y30" s="25"/>
      <c r="Z30" s="21"/>
      <c r="AA30" s="21"/>
      <c r="AB30" s="0" t="n">
        <f aca="false">SUM(Y30:AA30)</f>
        <v>0</v>
      </c>
    </row>
    <row r="31" customFormat="false" ht="13.8" hidden="false" customHeight="false" outlineLevel="0" collapsed="false">
      <c r="A31" s="12"/>
      <c r="I31" s="22"/>
      <c r="J31" s="22"/>
      <c r="K31" s="23"/>
      <c r="L31" s="23"/>
      <c r="M31" s="23"/>
      <c r="N31" s="27"/>
      <c r="O31" s="28"/>
      <c r="P31" s="29" t="str">
        <f aca="false">IF($N29&gt;$N30,I29,IF($N29&lt;$N30,I30,""))</f>
        <v/>
      </c>
      <c r="Q31" s="29" t="str">
        <f aca="false">IF($N29&gt;$N30,J29,IF($N29&lt;$N30,J30,""))</f>
        <v/>
      </c>
      <c r="R31" s="20"/>
      <c r="S31" s="21"/>
      <c r="T31" s="21"/>
      <c r="U31" s="31" t="n">
        <f aca="false">SUM(R31:T31)</f>
        <v>0</v>
      </c>
      <c r="W31" s="22"/>
      <c r="X31" s="22"/>
      <c r="Y31" s="23"/>
      <c r="Z31" s="23"/>
      <c r="AA31" s="32"/>
    </row>
    <row r="32" customFormat="false" ht="13.8" hidden="false" customHeight="false" outlineLevel="0" collapsed="false">
      <c r="A32" s="12"/>
      <c r="I32" s="22"/>
      <c r="J32" s="22"/>
      <c r="K32" s="23"/>
      <c r="L32" s="23"/>
      <c r="M32" s="23"/>
      <c r="N32" s="27"/>
      <c r="O32" s="22"/>
      <c r="P32" s="30" t="str">
        <f aca="false">IF($N33&gt;$N34,I33,IF($N33&lt;$N34,I34,""))</f>
        <v/>
      </c>
      <c r="Q32" s="30" t="str">
        <f aca="false">IF($N33&gt;$N34,J33,IF($N33&lt;$N34,J34,""))</f>
        <v/>
      </c>
      <c r="R32" s="25"/>
      <c r="S32" s="21"/>
      <c r="T32" s="21"/>
      <c r="U32" s="0" t="n">
        <f aca="false">SUM(R32:T32)</f>
        <v>0</v>
      </c>
      <c r="W32" s="1"/>
      <c r="X32" s="1"/>
      <c r="Y32" s="2"/>
      <c r="Z32" s="2"/>
      <c r="AA32" s="18"/>
    </row>
    <row r="33" customFormat="false" ht="13.8" hidden="false" customHeight="false" outlineLevel="0" collapsed="false">
      <c r="A33" s="12"/>
      <c r="I33" s="19" t="n">
        <f aca="false">VLOOKUP("d3", quali_results!$A$1:$C$40,2,0)</f>
        <v>0</v>
      </c>
      <c r="J33" s="19" t="n">
        <f aca="false">VLOOKUP("d3", quali_results!$A$1:$C$40,3,0)</f>
        <v>0</v>
      </c>
      <c r="K33" s="20"/>
      <c r="L33" s="21"/>
      <c r="M33" s="21"/>
      <c r="N33" s="31" t="n">
        <f aca="false">SUM(K33:M33)</f>
        <v>0</v>
      </c>
      <c r="O33" s="22"/>
      <c r="P33" s="22"/>
      <c r="Q33" s="22"/>
      <c r="R33" s="23"/>
      <c r="S33" s="23"/>
      <c r="T33" s="23"/>
      <c r="W33" s="1"/>
      <c r="X33" s="1"/>
      <c r="Y33" s="2"/>
      <c r="Z33" s="2"/>
      <c r="AA33" s="18"/>
    </row>
    <row r="34" customFormat="false" ht="13.8" hidden="false" customHeight="false" outlineLevel="0" collapsed="false">
      <c r="A34" s="12"/>
      <c r="I34" s="30" t="str">
        <f aca="false">IF($G7&gt;$G8,B8,IF($G7&lt;$G8,B7,""))</f>
        <v/>
      </c>
      <c r="J34" s="30" t="str">
        <f aca="false">IF($G7&gt;$G8,C8,IF($G7&lt;$G8,C7,""))</f>
        <v/>
      </c>
      <c r="K34" s="25"/>
      <c r="L34" s="21"/>
      <c r="M34" s="21"/>
      <c r="N34" s="22" t="n">
        <f aca="false">SUM(K34:M34)</f>
        <v>0</v>
      </c>
      <c r="O34" s="22"/>
      <c r="P34" s="22"/>
      <c r="Q34" s="22"/>
      <c r="R34" s="23"/>
      <c r="S34" s="23"/>
      <c r="T34" s="23"/>
      <c r="W34" s="1"/>
      <c r="X34" s="1"/>
      <c r="Y34" s="2"/>
      <c r="Z34" s="2"/>
      <c r="AA34" s="18"/>
    </row>
    <row r="35" customFormat="false" ht="12.75" hidden="false" customHeight="false" outlineLevel="0" collapsed="false">
      <c r="A35" s="12"/>
      <c r="W35" s="1"/>
      <c r="X35" s="1"/>
      <c r="Y35" s="2"/>
      <c r="Z35" s="2"/>
      <c r="AA35" s="18"/>
    </row>
    <row r="36" customFormat="false" ht="12.75" hidden="false" customHeight="false" outlineLevel="0" collapsed="false">
      <c r="A36" s="12"/>
      <c r="B36" s="33"/>
      <c r="C36" s="33"/>
      <c r="D36" s="34"/>
      <c r="E36" s="34"/>
      <c r="F36" s="34"/>
      <c r="G36" s="38"/>
      <c r="H36" s="38"/>
      <c r="I36" s="33"/>
      <c r="J36" s="33"/>
      <c r="K36" s="34"/>
      <c r="L36" s="34"/>
      <c r="M36" s="34"/>
      <c r="N36" s="38"/>
      <c r="O36" s="38"/>
      <c r="P36" s="33"/>
      <c r="Q36" s="33"/>
      <c r="R36" s="34"/>
      <c r="S36" s="34"/>
      <c r="T36" s="34"/>
      <c r="U36" s="38"/>
      <c r="V36" s="38"/>
      <c r="W36" s="38"/>
      <c r="X36" s="38"/>
      <c r="Y36" s="38"/>
      <c r="Z36" s="38"/>
      <c r="AA36" s="39"/>
    </row>
    <row r="37" customFormat="false" ht="12.75" hidden="false" customHeight="false" outlineLevel="0" collapsed="false">
      <c r="A37" s="12" t="s">
        <v>100</v>
      </c>
      <c r="AB37" s="36"/>
      <c r="AC37" s="36"/>
      <c r="AD37" s="36"/>
      <c r="AE37" s="36"/>
      <c r="AF37" s="36"/>
      <c r="AG37" s="36"/>
      <c r="AH37" s="37"/>
    </row>
    <row r="38" customFormat="false" ht="12.75" hidden="false" customHeight="false" outlineLevel="0" collapsed="false">
      <c r="A38" s="12"/>
      <c r="W38" s="1"/>
      <c r="X38" s="1"/>
      <c r="Y38" s="2"/>
      <c r="Z38" s="2"/>
      <c r="AA38" s="2"/>
      <c r="AD38" s="1"/>
      <c r="AE38" s="1"/>
      <c r="AF38" s="2"/>
      <c r="AG38" s="2"/>
      <c r="AH38" s="18"/>
    </row>
    <row r="39" customFormat="false" ht="13.8" hidden="false" customHeight="false" outlineLevel="0" collapsed="false">
      <c r="A39" s="12"/>
      <c r="P39" s="19" t="n">
        <f aca="false">VLOOKUP("a4", quali_results!$A$1:$C$40,2,0)</f>
        <v>0</v>
      </c>
      <c r="Q39" s="19" t="n">
        <f aca="false">VLOOKUP("a4", quali_results!$A$1:$C$40,3,0)</f>
        <v>0</v>
      </c>
      <c r="R39" s="20"/>
      <c r="S39" s="21"/>
      <c r="T39" s="21"/>
      <c r="U39" s="22" t="n">
        <f aca="false">SUM(R39:T39)</f>
        <v>0</v>
      </c>
      <c r="V39" s="22"/>
      <c r="W39" s="22"/>
      <c r="X39" s="22"/>
      <c r="Y39" s="23"/>
      <c r="Z39" s="23"/>
      <c r="AA39" s="23"/>
      <c r="AD39" s="1"/>
      <c r="AE39" s="1"/>
      <c r="AF39" s="2"/>
      <c r="AG39" s="2"/>
      <c r="AH39" s="18"/>
    </row>
    <row r="40" customFormat="false" ht="13.8" hidden="false" customHeight="false" outlineLevel="0" collapsed="false">
      <c r="A40" s="12"/>
      <c r="P40" s="24" t="str">
        <f aca="false">IF($N21&gt;$N22,I22,IF($N21&lt;$N22,I21,""))</f>
        <v/>
      </c>
      <c r="Q40" s="30" t="str">
        <f aca="false">IF($N21&gt;$N22,J22,IF($N21&lt;$N22,J21,""))</f>
        <v/>
      </c>
      <c r="R40" s="25"/>
      <c r="S40" s="21"/>
      <c r="T40" s="21"/>
      <c r="U40" s="26" t="n">
        <f aca="false">SUM(R40:T40)</f>
        <v>0</v>
      </c>
      <c r="V40" s="22"/>
      <c r="W40" s="22"/>
      <c r="X40" s="22"/>
      <c r="Y40" s="23"/>
      <c r="Z40" s="23"/>
      <c r="AA40" s="23"/>
      <c r="AD40" s="1"/>
      <c r="AE40" s="1"/>
      <c r="AF40" s="2"/>
      <c r="AG40" s="2"/>
      <c r="AH40" s="18"/>
    </row>
    <row r="41" customFormat="false" ht="13.8" hidden="false" customHeight="false" outlineLevel="0" collapsed="false">
      <c r="A41" s="12"/>
      <c r="P41" s="22"/>
      <c r="Q41" s="22"/>
      <c r="R41" s="23"/>
      <c r="S41" s="23"/>
      <c r="T41" s="23"/>
      <c r="U41" s="27"/>
      <c r="V41" s="28"/>
      <c r="W41" s="29" t="str">
        <f aca="false">IF($U39&gt;$U40,P39,IF($U39&lt;$U40,P40,""))</f>
        <v/>
      </c>
      <c r="X41" s="29" t="str">
        <f aca="false">IF($U39&gt;$U40,Q39,IF($U39&lt;$U40,Q40,""))</f>
        <v/>
      </c>
      <c r="Y41" s="20"/>
      <c r="Z41" s="21"/>
      <c r="AA41" s="21"/>
      <c r="AB41" s="28" t="n">
        <f aca="false">SUM(Y41:AA41)</f>
        <v>0</v>
      </c>
      <c r="AD41" s="1"/>
      <c r="AE41" s="1"/>
      <c r="AF41" s="2"/>
      <c r="AG41" s="2"/>
      <c r="AH41" s="18"/>
    </row>
    <row r="42" customFormat="false" ht="13.8" hidden="false" customHeight="false" outlineLevel="0" collapsed="false">
      <c r="A42" s="12"/>
      <c r="P42" s="22"/>
      <c r="Q42" s="22"/>
      <c r="R42" s="23"/>
      <c r="S42" s="23"/>
      <c r="T42" s="23"/>
      <c r="U42" s="27"/>
      <c r="V42" s="22"/>
      <c r="W42" s="30" t="str">
        <f aca="false">IF($U43&gt;$U44,P43,IF($U43&lt;$U44,P44,""))</f>
        <v/>
      </c>
      <c r="X42" s="30" t="str">
        <f aca="false">IF($U43&gt;$U44,Q43,IF($U43&lt;$U44,Q44,""))</f>
        <v/>
      </c>
      <c r="Y42" s="25"/>
      <c r="Z42" s="21"/>
      <c r="AA42" s="21"/>
      <c r="AB42" s="27" t="n">
        <f aca="false">SUM(Y42:AA42)</f>
        <v>0</v>
      </c>
      <c r="AD42" s="1"/>
      <c r="AE42" s="1"/>
      <c r="AF42" s="2"/>
      <c r="AG42" s="2"/>
      <c r="AH42" s="18"/>
    </row>
    <row r="43" customFormat="false" ht="13.8" hidden="false" customHeight="false" outlineLevel="0" collapsed="false">
      <c r="A43" s="12"/>
      <c r="P43" s="19" t="n">
        <f aca="false">VLOOKUP("b4", quali_results!$A$1:$C$40,2,0)</f>
        <v>0</v>
      </c>
      <c r="Q43" s="19" t="n">
        <f aca="false">VLOOKUP("b4", quali_results!$A$1:$C$40,3,0)</f>
        <v>0</v>
      </c>
      <c r="R43" s="20"/>
      <c r="S43" s="21"/>
      <c r="T43" s="21"/>
      <c r="U43" s="31" t="n">
        <f aca="false">SUM(R43:T43)</f>
        <v>0</v>
      </c>
      <c r="V43" s="22"/>
      <c r="W43" s="22"/>
      <c r="X43" s="22"/>
      <c r="Y43" s="23"/>
      <c r="Z43" s="23"/>
      <c r="AA43" s="23"/>
      <c r="AB43" s="27"/>
      <c r="AD43" s="22"/>
      <c r="AE43" s="22"/>
      <c r="AF43" s="23"/>
      <c r="AG43" s="23"/>
      <c r="AH43" s="32"/>
    </row>
    <row r="44" customFormat="false" ht="13.8" hidden="false" customHeight="false" outlineLevel="0" collapsed="false">
      <c r="A44" s="12"/>
      <c r="P44" s="30" t="str">
        <f aca="false">IF($N25&gt;$N26,I26,IF($N25&lt;$N26,I25,""))</f>
        <v/>
      </c>
      <c r="Q44" s="30" t="str">
        <f aca="false">IF($N25&gt;$N26,J26,IF($N25&lt;$N26,J25,""))</f>
        <v/>
      </c>
      <c r="R44" s="25"/>
      <c r="S44" s="21"/>
      <c r="T44" s="21"/>
      <c r="U44" s="22" t="n">
        <f aca="false">SUM(R44:T44)</f>
        <v>0</v>
      </c>
      <c r="V44" s="22"/>
      <c r="W44" s="22"/>
      <c r="X44" s="22"/>
      <c r="Y44" s="23"/>
      <c r="Z44" s="23"/>
      <c r="AA44" s="23"/>
      <c r="AB44" s="27"/>
      <c r="AC44" s="28"/>
      <c r="AD44" s="29" t="str">
        <f aca="false">IF($AB41&gt;$AB42,W41,IF($AB41&lt;$AB42,W42,""))</f>
        <v/>
      </c>
      <c r="AE44" s="29" t="str">
        <f aca="false">IF($AB41&gt;$AB42,X41,IF($AB41&lt;$AB42,X42,""))</f>
        <v/>
      </c>
      <c r="AF44" s="20"/>
      <c r="AG44" s="21"/>
      <c r="AH44" s="21"/>
      <c r="AI44" s="0" t="n">
        <f aca="false">SUM(AF44:AH44)</f>
        <v>0</v>
      </c>
    </row>
    <row r="45" customFormat="false" ht="13.8" hidden="false" customHeight="false" outlineLevel="0" collapsed="false">
      <c r="A45" s="12"/>
      <c r="W45" s="1"/>
      <c r="X45" s="1"/>
      <c r="Y45" s="2"/>
      <c r="Z45" s="2"/>
      <c r="AA45" s="2"/>
      <c r="AB45" s="27"/>
      <c r="AD45" s="30" t="str">
        <f aca="false">IF($AB49&gt;$AB50,W49,IF($AB49&lt;$AB50,W50,""))</f>
        <v/>
      </c>
      <c r="AE45" s="30" t="str">
        <f aca="false">IF($AB49&gt;$AB50,X49,IF($AB49&lt;$AB50,X50,""))</f>
        <v/>
      </c>
      <c r="AF45" s="25"/>
      <c r="AG45" s="21"/>
      <c r="AH45" s="21"/>
      <c r="AI45" s="0" t="n">
        <f aca="false">SUM(AF45:AH45)</f>
        <v>0</v>
      </c>
    </row>
    <row r="46" customFormat="false" ht="13.8" hidden="false" customHeight="false" outlineLevel="0" collapsed="false">
      <c r="A46" s="12"/>
      <c r="W46" s="1"/>
      <c r="X46" s="1"/>
      <c r="Y46" s="2"/>
      <c r="Z46" s="2"/>
      <c r="AA46" s="2"/>
      <c r="AB46" s="27"/>
      <c r="AD46" s="22"/>
      <c r="AE46" s="22"/>
      <c r="AF46" s="23"/>
      <c r="AG46" s="23"/>
      <c r="AH46" s="32"/>
    </row>
    <row r="47" customFormat="false" ht="13.8" hidden="false" customHeight="false" outlineLevel="0" collapsed="false">
      <c r="A47" s="12"/>
      <c r="P47" s="19" t="n">
        <f aca="false">VLOOKUP("c4", quali_results!$A$1:$C$40,2,0)</f>
        <v>0</v>
      </c>
      <c r="Q47" s="19" t="n">
        <f aca="false">VLOOKUP("c4", quali_results!$A$1:$C$40,3,0)</f>
        <v>0</v>
      </c>
      <c r="R47" s="20"/>
      <c r="S47" s="21"/>
      <c r="T47" s="21"/>
      <c r="U47" s="22" t="n">
        <f aca="false">SUM(R47:T47)</f>
        <v>0</v>
      </c>
      <c r="V47" s="22"/>
      <c r="W47" s="22"/>
      <c r="X47" s="22"/>
      <c r="Y47" s="23"/>
      <c r="Z47" s="23"/>
      <c r="AA47" s="23"/>
      <c r="AB47" s="27"/>
      <c r="AC47" s="28"/>
      <c r="AD47" s="29" t="str">
        <f aca="false">IF($AB41&gt;$AB42,W42,IF($AB41&lt;$AB42,W41,""))</f>
        <v/>
      </c>
      <c r="AE47" s="29" t="str">
        <f aca="false">IF($AB41&gt;$AB42,X42,IF($AB41&lt;$AB42,X41,""))</f>
        <v/>
      </c>
      <c r="AF47" s="20"/>
      <c r="AG47" s="21"/>
      <c r="AH47" s="21"/>
      <c r="AI47" s="0" t="n">
        <f aca="false">SUM(AF47:AH47)</f>
        <v>0</v>
      </c>
    </row>
    <row r="48" customFormat="false" ht="13.8" hidden="false" customHeight="false" outlineLevel="0" collapsed="false">
      <c r="A48" s="12"/>
      <c r="P48" s="30" t="str">
        <f aca="false">IF($N29&gt;$N30,I30,IF($N29&lt;$N30,I29,""))</f>
        <v/>
      </c>
      <c r="Q48" s="30" t="str">
        <f aca="false">IF($N29&gt;$N30,J30,IF($N29&lt;$N30,J29,""))</f>
        <v/>
      </c>
      <c r="R48" s="25"/>
      <c r="S48" s="21"/>
      <c r="T48" s="21"/>
      <c r="U48" s="26" t="n">
        <f aca="false">SUM(R48:T48)</f>
        <v>0</v>
      </c>
      <c r="V48" s="22"/>
      <c r="W48" s="22"/>
      <c r="X48" s="22"/>
      <c r="Y48" s="23"/>
      <c r="Z48" s="23"/>
      <c r="AA48" s="23"/>
      <c r="AB48" s="27"/>
      <c r="AD48" s="30" t="str">
        <f aca="false">IF($AB49&gt;$AB50,W50,IF($AB49&lt;$AB50,W49,""))</f>
        <v/>
      </c>
      <c r="AE48" s="30" t="str">
        <f aca="false">IF($AB49&gt;$AB50,X50,IF($AB49&lt;$AB50,X49,""))</f>
        <v/>
      </c>
      <c r="AF48" s="25"/>
      <c r="AG48" s="21"/>
      <c r="AH48" s="21"/>
      <c r="AI48" s="0" t="n">
        <f aca="false">SUM(AF48:AH48)</f>
        <v>0</v>
      </c>
    </row>
    <row r="49" customFormat="false" ht="13.8" hidden="false" customHeight="false" outlineLevel="0" collapsed="false">
      <c r="A49" s="12"/>
      <c r="P49" s="22"/>
      <c r="Q49" s="22"/>
      <c r="R49" s="23"/>
      <c r="S49" s="23"/>
      <c r="T49" s="23"/>
      <c r="U49" s="27"/>
      <c r="V49" s="28"/>
      <c r="W49" s="29" t="str">
        <f aca="false">IF($U47&gt;$U48,P47,IF($U47&lt;$U48,P48,""))</f>
        <v/>
      </c>
      <c r="X49" s="29" t="str">
        <f aca="false">IF($U47&gt;$U48,Q47,IF($U47&lt;$U48,Q48,""))</f>
        <v/>
      </c>
      <c r="Y49" s="20"/>
      <c r="Z49" s="21"/>
      <c r="AA49" s="21"/>
      <c r="AB49" s="31" t="n">
        <f aca="false">SUM(Y49:AA49)</f>
        <v>0</v>
      </c>
      <c r="AD49" s="22"/>
      <c r="AE49" s="22"/>
      <c r="AF49" s="23"/>
      <c r="AG49" s="23"/>
      <c r="AH49" s="32"/>
    </row>
    <row r="50" customFormat="false" ht="13.8" hidden="false" customHeight="false" outlineLevel="0" collapsed="false">
      <c r="A50" s="12"/>
      <c r="P50" s="22"/>
      <c r="Q50" s="22"/>
      <c r="R50" s="23"/>
      <c r="S50" s="23"/>
      <c r="T50" s="23"/>
      <c r="U50" s="27"/>
      <c r="V50" s="22"/>
      <c r="W50" s="30" t="str">
        <f aca="false">IF($U51&gt;$U52,P51,IF($U51&lt;$U52,P52,""))</f>
        <v/>
      </c>
      <c r="X50" s="30" t="str">
        <f aca="false">IF($U51&gt;$U52,Q51,IF($U51&lt;$U52,Q52,""))</f>
        <v/>
      </c>
      <c r="Y50" s="25"/>
      <c r="Z50" s="21"/>
      <c r="AA50" s="21"/>
      <c r="AB50" s="0" t="n">
        <f aca="false">SUM(Y50:AA50)</f>
        <v>0</v>
      </c>
      <c r="AD50" s="1"/>
      <c r="AE50" s="1"/>
      <c r="AF50" s="2"/>
      <c r="AG50" s="2"/>
      <c r="AH50" s="18"/>
    </row>
    <row r="51" customFormat="false" ht="13.8" hidden="false" customHeight="false" outlineLevel="0" collapsed="false">
      <c r="A51" s="12"/>
      <c r="P51" s="19" t="n">
        <f aca="false">VLOOKUP("d4", quali_results!$A$1:$C$40,2,0)</f>
        <v>0</v>
      </c>
      <c r="Q51" s="19" t="n">
        <f aca="false">VLOOKUP("d4", quali_results!$A$1:$C$40,3,0)</f>
        <v>0</v>
      </c>
      <c r="R51" s="20"/>
      <c r="S51" s="21"/>
      <c r="T51" s="21"/>
      <c r="U51" s="31" t="n">
        <f aca="false">SUM(R51:T51)</f>
        <v>0</v>
      </c>
      <c r="V51" s="22"/>
      <c r="W51" s="22"/>
      <c r="X51" s="22"/>
      <c r="Y51" s="23"/>
      <c r="Z51" s="23"/>
      <c r="AA51" s="23"/>
      <c r="AD51" s="1"/>
      <c r="AE51" s="1"/>
      <c r="AF51" s="2"/>
      <c r="AG51" s="2"/>
      <c r="AH51" s="18"/>
    </row>
    <row r="52" customFormat="false" ht="13.8" hidden="false" customHeight="false" outlineLevel="0" collapsed="false">
      <c r="A52" s="12"/>
      <c r="P52" s="30" t="str">
        <f aca="false">IF($N33&gt;$N34,I34,IF($N33&lt;$N34,I33,""))</f>
        <v/>
      </c>
      <c r="Q52" s="30" t="str">
        <f aca="false">IF($N33&gt;$N34,J34,IF($N33&lt;$N34,J33,""))</f>
        <v/>
      </c>
      <c r="R52" s="25"/>
      <c r="S52" s="21"/>
      <c r="T52" s="21"/>
      <c r="U52" s="22" t="n">
        <f aca="false">SUM(R52:T52)</f>
        <v>0</v>
      </c>
      <c r="V52" s="22"/>
      <c r="W52" s="22"/>
      <c r="X52" s="22"/>
      <c r="Y52" s="23"/>
      <c r="Z52" s="23"/>
      <c r="AA52" s="23"/>
      <c r="AD52" s="1"/>
      <c r="AE52" s="1"/>
      <c r="AF52" s="2"/>
      <c r="AG52" s="2"/>
      <c r="AH52" s="18"/>
    </row>
    <row r="53" customFormat="false" ht="12.75" hidden="false" customHeight="false" outlineLevel="0" collapsed="false">
      <c r="A53" s="12"/>
      <c r="W53" s="1"/>
      <c r="X53" s="1"/>
      <c r="Y53" s="2"/>
      <c r="Z53" s="2"/>
      <c r="AA53" s="2"/>
      <c r="AD53" s="1"/>
      <c r="AE53" s="1"/>
      <c r="AF53" s="2"/>
      <c r="AG53" s="2"/>
      <c r="AH53" s="18"/>
    </row>
    <row r="54" customFormat="false" ht="12.75" hidden="false" customHeight="false" outlineLevel="0" collapsed="false">
      <c r="A54" s="12"/>
      <c r="B54" s="33"/>
      <c r="C54" s="33"/>
      <c r="D54" s="34"/>
      <c r="E54" s="34"/>
      <c r="F54" s="34"/>
      <c r="G54" s="38"/>
      <c r="H54" s="38"/>
      <c r="I54" s="33"/>
      <c r="J54" s="33"/>
      <c r="K54" s="34"/>
      <c r="L54" s="34"/>
      <c r="M54" s="34"/>
      <c r="N54" s="38"/>
      <c r="O54" s="38"/>
      <c r="P54" s="33"/>
      <c r="Q54" s="33"/>
      <c r="R54" s="34"/>
      <c r="S54" s="34"/>
      <c r="T54" s="34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9"/>
    </row>
    <row r="55" customFormat="false" ht="12.75" hidden="false" customHeight="true" outlineLevel="0" collapsed="false">
      <c r="A55" s="40" t="s">
        <v>53</v>
      </c>
      <c r="F55" s="18"/>
    </row>
    <row r="56" customFormat="false" ht="12.75" hidden="false" customHeight="false" outlineLevel="0" collapsed="false">
      <c r="A56" s="40"/>
      <c r="B56" s="16"/>
      <c r="C56" s="16"/>
      <c r="D56" s="17"/>
      <c r="E56" s="17"/>
      <c r="F56" s="18"/>
    </row>
    <row r="57" customFormat="false" ht="12.75" hidden="false" customHeight="false" outlineLevel="0" collapsed="false">
      <c r="A57" s="40"/>
      <c r="F57" s="18"/>
    </row>
    <row r="58" customFormat="false" ht="12.75" hidden="false" customHeight="false" outlineLevel="0" collapsed="false">
      <c r="A58" s="40"/>
      <c r="F58" s="18"/>
    </row>
    <row r="59" customFormat="false" ht="12.75" hidden="false" customHeight="false" outlineLevel="0" collapsed="false">
      <c r="A59" s="40"/>
      <c r="F59" s="18"/>
    </row>
    <row r="60" customFormat="false" ht="12.75" hidden="false" customHeight="false" outlineLevel="0" collapsed="false">
      <c r="A60" s="40"/>
      <c r="F60" s="18"/>
    </row>
    <row r="61" customFormat="false" ht="13.8" hidden="false" customHeight="false" outlineLevel="0" collapsed="false">
      <c r="A61" s="40"/>
      <c r="B61" s="22"/>
      <c r="C61" s="22"/>
      <c r="D61" s="23"/>
      <c r="E61" s="23"/>
      <c r="F61" s="32"/>
    </row>
    <row r="62" customFormat="false" ht="13.8" hidden="false" customHeight="false" outlineLevel="0" collapsed="false">
      <c r="A62" s="40"/>
      <c r="B62" s="19" t="n">
        <f aca="false">VLOOKUP("w1", quali_results!$A$1:$C$40,2,0)</f>
        <v>0</v>
      </c>
      <c r="C62" s="19" t="n">
        <f aca="false">VLOOKUP("w1", quali_results!$A$1:$C$40,3,0)</f>
        <v>0</v>
      </c>
      <c r="D62" s="20"/>
      <c r="E62" s="21"/>
      <c r="F62" s="21"/>
      <c r="G62" s="0" t="n">
        <f aca="false">SUM(D62:F62)</f>
        <v>0</v>
      </c>
    </row>
    <row r="63" customFormat="false" ht="13.8" hidden="false" customHeight="false" outlineLevel="0" collapsed="false">
      <c r="A63" s="40"/>
      <c r="B63" s="41" t="n">
        <f aca="false">VLOOKUP("w2", quali_results!$A$1:$C$40,2,0)</f>
        <v>0</v>
      </c>
      <c r="C63" s="30" t="n">
        <f aca="false">VLOOKUP("w2", quali_results!$A$1:$C$40,3,0)</f>
        <v>0</v>
      </c>
      <c r="D63" s="25"/>
      <c r="E63" s="21"/>
      <c r="F63" s="21"/>
      <c r="G63" s="0" t="n">
        <f aca="false">SUM(D63:F63)</f>
        <v>0</v>
      </c>
    </row>
    <row r="64" customFormat="false" ht="13.8" hidden="false" customHeight="false" outlineLevel="0" collapsed="false">
      <c r="A64" s="40"/>
      <c r="B64" s="22"/>
      <c r="C64" s="22"/>
      <c r="D64" s="23"/>
      <c r="E64" s="23"/>
      <c r="F64" s="32"/>
    </row>
    <row r="65" customFormat="false" ht="13.8" hidden="false" customHeight="false" outlineLevel="0" collapsed="false">
      <c r="A65" s="40"/>
      <c r="B65" s="19" t="n">
        <f aca="false">VLOOKUP("w3", quali_results!$A$1:$C$40,2,0)</f>
        <v>0</v>
      </c>
      <c r="C65" s="19" t="n">
        <f aca="false">VLOOKUP("w3", quali_results!$A$1:$C$40,3,0)</f>
        <v>0</v>
      </c>
      <c r="D65" s="20"/>
      <c r="E65" s="21"/>
      <c r="F65" s="21"/>
      <c r="G65" s="0" t="n">
        <f aca="false">SUM(D65:F65)</f>
        <v>0</v>
      </c>
    </row>
    <row r="66" customFormat="false" ht="13.8" hidden="false" customHeight="false" outlineLevel="0" collapsed="false">
      <c r="A66" s="40"/>
      <c r="B66" s="41" t="n">
        <f aca="false">VLOOKUP("w4", quali_results!$A$1:$C$40,2,0)</f>
        <v>0</v>
      </c>
      <c r="C66" s="30" t="n">
        <f aca="false">VLOOKUP("w4", quali_results!$A$1:$C$40,3,0)</f>
        <v>0</v>
      </c>
      <c r="D66" s="25"/>
      <c r="E66" s="21"/>
      <c r="F66" s="21"/>
      <c r="G66" s="0" t="n">
        <f aca="false">SUM(D66:F66)</f>
        <v>0</v>
      </c>
    </row>
    <row r="67" customFormat="false" ht="13.8" hidden="false" customHeight="false" outlineLevel="0" collapsed="false">
      <c r="A67" s="40"/>
      <c r="B67" s="22"/>
      <c r="C67" s="22"/>
      <c r="D67" s="23"/>
      <c r="E67" s="23"/>
      <c r="F67" s="32"/>
    </row>
    <row r="68" customFormat="false" ht="12.75" hidden="false" customHeight="false" outlineLevel="0" collapsed="false">
      <c r="A68" s="40"/>
      <c r="F68" s="18"/>
    </row>
    <row r="69" customFormat="false" ht="12.75" hidden="false" customHeight="false" outlineLevel="0" collapsed="false">
      <c r="A69" s="40"/>
      <c r="F69" s="18"/>
    </row>
    <row r="70" customFormat="false" ht="12.75" hidden="false" customHeight="false" outlineLevel="0" collapsed="false">
      <c r="A70" s="40"/>
      <c r="F70" s="18"/>
    </row>
    <row r="71" customFormat="false" ht="12.75" hidden="false" customHeight="false" outlineLevel="0" collapsed="false">
      <c r="A71" s="40"/>
      <c r="F71" s="18"/>
    </row>
    <row r="72" customFormat="false" ht="12.75" hidden="false" customHeight="false" outlineLevel="0" collapsed="false">
      <c r="A72" s="40"/>
      <c r="B72" s="33"/>
      <c r="C72" s="33"/>
      <c r="D72" s="34"/>
      <c r="E72" s="34"/>
      <c r="F72" s="35"/>
    </row>
    <row r="73" customFormat="false" ht="12.75" hidden="false" customHeight="true" outlineLevel="0" collapsed="false">
      <c r="A73" s="40" t="s">
        <v>62</v>
      </c>
      <c r="F73" s="18"/>
    </row>
    <row r="74" customFormat="false" ht="12.75" hidden="false" customHeight="false" outlineLevel="0" collapsed="false">
      <c r="A74" s="40"/>
      <c r="B74" s="16"/>
      <c r="C74" s="16"/>
      <c r="D74" s="17"/>
      <c r="E74" s="17"/>
      <c r="F74" s="18"/>
    </row>
    <row r="75" customFormat="false" ht="12.75" hidden="false" customHeight="false" outlineLevel="0" collapsed="false">
      <c r="A75" s="40"/>
      <c r="F75" s="18"/>
    </row>
    <row r="76" customFormat="false" ht="12.75" hidden="false" customHeight="false" outlineLevel="0" collapsed="false">
      <c r="A76" s="40"/>
      <c r="F76" s="18"/>
    </row>
    <row r="77" customFormat="false" ht="12.75" hidden="false" customHeight="false" outlineLevel="0" collapsed="false">
      <c r="A77" s="40"/>
      <c r="F77" s="18"/>
    </row>
    <row r="78" customFormat="false" ht="12.75" hidden="false" customHeight="false" outlineLevel="0" collapsed="false">
      <c r="A78" s="40"/>
      <c r="F78" s="18"/>
    </row>
    <row r="79" customFormat="false" ht="13.8" hidden="false" customHeight="false" outlineLevel="0" collapsed="false">
      <c r="A79" s="40"/>
      <c r="B79" s="22"/>
      <c r="C79" s="22"/>
      <c r="D79" s="23"/>
      <c r="E79" s="23"/>
      <c r="F79" s="32"/>
    </row>
    <row r="80" customFormat="false" ht="13.8" hidden="false" customHeight="false" outlineLevel="0" collapsed="false">
      <c r="A80" s="40"/>
      <c r="B80" s="19" t="n">
        <f aca="false">VLOOKUP("g1", quali_results!$A$1:$C$40,2,0)</f>
        <v>0</v>
      </c>
      <c r="C80" s="19" t="n">
        <f aca="false">VLOOKUP("g1", quali_results!$A$1:$C$40,3,0)</f>
        <v>0</v>
      </c>
      <c r="D80" s="20"/>
      <c r="E80" s="21"/>
      <c r="F80" s="21"/>
      <c r="G80" s="0" t="n">
        <f aca="false">SUM(D80:F80)</f>
        <v>0</v>
      </c>
    </row>
    <row r="81" customFormat="false" ht="13.8" hidden="false" customHeight="false" outlineLevel="0" collapsed="false">
      <c r="A81" s="40"/>
      <c r="B81" s="41" t="n">
        <f aca="false">VLOOKUP("g2", quali_results!$A$1:$C$40,2,0)</f>
        <v>0</v>
      </c>
      <c r="C81" s="30" t="n">
        <f aca="false">VLOOKUP("g2", quali_results!$A$1:$C$40,3,0)</f>
        <v>0</v>
      </c>
      <c r="D81" s="25"/>
      <c r="E81" s="21"/>
      <c r="F81" s="21"/>
      <c r="G81" s="0" t="n">
        <f aca="false">SUM(D81:F81)</f>
        <v>0</v>
      </c>
    </row>
    <row r="82" customFormat="false" ht="13.8" hidden="false" customHeight="false" outlineLevel="0" collapsed="false">
      <c r="A82" s="40"/>
      <c r="B82" s="42"/>
      <c r="C82" s="42"/>
      <c r="D82" s="23"/>
      <c r="E82" s="23"/>
      <c r="F82" s="32"/>
    </row>
    <row r="83" customFormat="false" ht="13.8" hidden="false" customHeight="false" outlineLevel="0" collapsed="false">
      <c r="A83" s="40"/>
      <c r="B83" s="19" t="n">
        <f aca="false">VLOOKUP("g3", quali_results!$A$1:$C$40,2,0)</f>
        <v>0</v>
      </c>
      <c r="C83" s="19" t="n">
        <f aca="false">VLOOKUP("g3", quali_results!$A$1:$C$40,3,0)</f>
        <v>0</v>
      </c>
      <c r="D83" s="20"/>
      <c r="E83" s="21"/>
      <c r="F83" s="21"/>
      <c r="G83" s="0" t="n">
        <f aca="false">SUM(D83:F83)</f>
        <v>0</v>
      </c>
    </row>
    <row r="84" customFormat="false" ht="13.8" hidden="false" customHeight="false" outlineLevel="0" collapsed="false">
      <c r="A84" s="40"/>
      <c r="B84" s="41" t="n">
        <f aca="false">VLOOKUP("g4", quali_results!$A$1:$C$40,2,0)</f>
        <v>0</v>
      </c>
      <c r="C84" s="30" t="n">
        <f aca="false">VLOOKUP("g4", quali_results!$A$1:$C$40,3,0)</f>
        <v>0</v>
      </c>
      <c r="D84" s="25"/>
      <c r="E84" s="21"/>
      <c r="F84" s="21"/>
      <c r="G84" s="0" t="n">
        <f aca="false">SUM(D84:F84)</f>
        <v>0</v>
      </c>
    </row>
    <row r="85" customFormat="false" ht="13.8" hidden="false" customHeight="false" outlineLevel="0" collapsed="false">
      <c r="A85" s="40"/>
      <c r="B85" s="22"/>
      <c r="C85" s="22"/>
      <c r="D85" s="23"/>
      <c r="E85" s="23"/>
      <c r="F85" s="32"/>
    </row>
    <row r="86" customFormat="false" ht="12.75" hidden="false" customHeight="false" outlineLevel="0" collapsed="false">
      <c r="A86" s="40"/>
      <c r="F86" s="18"/>
    </row>
    <row r="87" customFormat="false" ht="12.75" hidden="false" customHeight="false" outlineLevel="0" collapsed="false">
      <c r="A87" s="40"/>
      <c r="F87" s="18"/>
    </row>
    <row r="88" customFormat="false" ht="12.75" hidden="false" customHeight="false" outlineLevel="0" collapsed="false">
      <c r="A88" s="40"/>
      <c r="F88" s="18"/>
    </row>
    <row r="89" customFormat="false" ht="12.75" hidden="false" customHeight="false" outlineLevel="0" collapsed="false">
      <c r="A89" s="40"/>
      <c r="F89" s="18"/>
    </row>
    <row r="90" customFormat="false" ht="12.75" hidden="false" customHeight="false" outlineLevel="0" collapsed="false">
      <c r="A90" s="40"/>
      <c r="B90" s="33"/>
      <c r="C90" s="33"/>
      <c r="D90" s="34"/>
      <c r="E90" s="34"/>
      <c r="F90" s="35"/>
    </row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A18"/>
    <mergeCell ref="A19:A36"/>
    <mergeCell ref="A37:A54"/>
    <mergeCell ref="A55:A72"/>
    <mergeCell ref="A73:A9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2" activeCellId="0" sqref="B12"/>
    </sheetView>
  </sheetViews>
  <sheetFormatPr defaultColWidth="11.9296875" defaultRowHeight="12.75" zeroHeight="false" outlineLevelRow="0" outlineLevelCol="0"/>
  <cols>
    <col collapsed="false" customWidth="true" hidden="false" outlineLevel="0" max="1" min="1" style="1" width="20.57"/>
    <col collapsed="false" customWidth="true" hidden="false" outlineLevel="0" max="2" min="2" style="1" width="18.92"/>
    <col collapsed="false" customWidth="true" hidden="false" outlineLevel="0" max="3" min="3" style="1" width="20.37"/>
    <col collapsed="false" customWidth="true" hidden="false" outlineLevel="0" max="4" min="4" style="1" width="21.97"/>
  </cols>
  <sheetData>
    <row r="1" customFormat="false" ht="12.75" hidden="false" customHeight="true" outlineLevel="0" collapsed="false"/>
    <row r="6" customFormat="false" ht="27.75" hidden="false" customHeight="true" outlineLevel="0" collapsed="false">
      <c r="A6" s="43" t="s">
        <v>101</v>
      </c>
      <c r="B6" s="44" t="s">
        <v>102</v>
      </c>
      <c r="C6" s="44"/>
      <c r="D6" s="44"/>
    </row>
    <row r="7" customFormat="false" ht="27.75" hidden="false" customHeight="true" outlineLevel="0" collapsed="false">
      <c r="A7" s="43" t="s">
        <v>103</v>
      </c>
      <c r="B7" s="45"/>
      <c r="C7" s="45"/>
      <c r="D7" s="45"/>
    </row>
    <row r="8" customFormat="false" ht="27.75" hidden="false" customHeight="true" outlineLevel="0" collapsed="false">
      <c r="A8" s="43" t="s">
        <v>104</v>
      </c>
      <c r="B8" s="45"/>
      <c r="C8" s="45"/>
      <c r="D8" s="45"/>
    </row>
    <row r="9" customFormat="false" ht="27.75" hidden="false" customHeight="true" outlineLevel="0" collapsed="false">
      <c r="A9" s="46" t="s">
        <v>105</v>
      </c>
      <c r="B9" s="45"/>
      <c r="C9" s="45"/>
      <c r="D9" s="45"/>
    </row>
    <row r="10" customFormat="false" ht="27.75" hidden="false" customHeight="true" outlineLevel="0" collapsed="false">
      <c r="A10" s="12" t="s">
        <v>106</v>
      </c>
      <c r="B10" s="47"/>
      <c r="C10" s="47"/>
      <c r="D10" s="48" t="s">
        <v>107</v>
      </c>
    </row>
    <row r="11" s="2" customFormat="true" ht="27.75" hidden="false" customHeight="true" outlineLevel="0" collapsed="false">
      <c r="A11" s="12" t="s">
        <v>108</v>
      </c>
      <c r="B11" s="47"/>
      <c r="C11" s="47"/>
      <c r="D11" s="12" t="s">
        <v>108</v>
      </c>
    </row>
    <row r="12" s="2" customFormat="true" ht="27.75" hidden="false" customHeight="true" outlineLevel="0" collapsed="false">
      <c r="A12" s="12" t="s">
        <v>109</v>
      </c>
      <c r="B12" s="21"/>
      <c r="C12" s="21"/>
      <c r="D12" s="12" t="s">
        <v>109</v>
      </c>
    </row>
    <row r="13" s="2" customFormat="true" ht="27.75" hidden="false" customHeight="true" outlineLevel="0" collapsed="false">
      <c r="A13" s="49" t="s">
        <v>110</v>
      </c>
      <c r="B13" s="21"/>
      <c r="C13" s="21"/>
      <c r="D13" s="12" t="s">
        <v>110</v>
      </c>
    </row>
    <row r="16" customFormat="false" ht="12.75" hidden="false" customHeight="true" outlineLevel="0" collapsed="false">
      <c r="A16" s="33"/>
      <c r="B16" s="33"/>
      <c r="C16" s="33"/>
      <c r="D16" s="33"/>
    </row>
    <row r="20" customFormat="false" ht="27.75" hidden="false" customHeight="true" outlineLevel="0" collapsed="false">
      <c r="A20" s="43" t="s">
        <v>101</v>
      </c>
      <c r="B20" s="44" t="s">
        <v>102</v>
      </c>
      <c r="C20" s="44"/>
      <c r="D20" s="44"/>
    </row>
    <row r="21" customFormat="false" ht="27.75" hidden="false" customHeight="true" outlineLevel="0" collapsed="false">
      <c r="A21" s="43" t="s">
        <v>103</v>
      </c>
      <c r="B21" s="45"/>
      <c r="C21" s="45"/>
      <c r="D21" s="45"/>
    </row>
    <row r="22" customFormat="false" ht="27.75" hidden="false" customHeight="true" outlineLevel="0" collapsed="false">
      <c r="A22" s="43" t="s">
        <v>104</v>
      </c>
      <c r="B22" s="45"/>
      <c r="C22" s="45"/>
      <c r="D22" s="45"/>
    </row>
    <row r="23" customFormat="false" ht="27.75" hidden="false" customHeight="true" outlineLevel="0" collapsed="false">
      <c r="A23" s="46" t="s">
        <v>105</v>
      </c>
      <c r="B23" s="45"/>
      <c r="C23" s="45"/>
      <c r="D23" s="45"/>
    </row>
    <row r="24" customFormat="false" ht="27.75" hidden="false" customHeight="true" outlineLevel="0" collapsed="false">
      <c r="A24" s="12" t="s">
        <v>106</v>
      </c>
      <c r="B24" s="47"/>
      <c r="C24" s="47"/>
      <c r="D24" s="48" t="s">
        <v>107</v>
      </c>
    </row>
    <row r="25" customFormat="false" ht="27.75" hidden="false" customHeight="true" outlineLevel="0" collapsed="false">
      <c r="A25" s="12" t="s">
        <v>108</v>
      </c>
      <c r="B25" s="47"/>
      <c r="C25" s="47"/>
      <c r="D25" s="12" t="s">
        <v>108</v>
      </c>
    </row>
    <row r="26" customFormat="false" ht="27.75" hidden="false" customHeight="true" outlineLevel="0" collapsed="false">
      <c r="A26" s="12" t="s">
        <v>109</v>
      </c>
      <c r="B26" s="21"/>
      <c r="C26" s="21"/>
      <c r="D26" s="12" t="s">
        <v>109</v>
      </c>
    </row>
    <row r="27" customFormat="false" ht="27.75" hidden="false" customHeight="true" outlineLevel="0" collapsed="false">
      <c r="A27" s="49" t="s">
        <v>110</v>
      </c>
      <c r="B27" s="50"/>
      <c r="C27" s="50"/>
      <c r="D27" s="12" t="s">
        <v>110</v>
      </c>
    </row>
  </sheetData>
  <mergeCells count="8">
    <mergeCell ref="B6:D6"/>
    <mergeCell ref="B7:D7"/>
    <mergeCell ref="B8:D8"/>
    <mergeCell ref="B9:D9"/>
    <mergeCell ref="B20:D20"/>
    <mergeCell ref="B21:D21"/>
    <mergeCell ref="B22:D22"/>
    <mergeCell ref="B23:D23"/>
  </mergeCells>
  <printOptions headings="false" gridLines="false" gridLinesSet="true" horizontalCentered="false" verticalCentered="false"/>
  <pageMargins left="0.7875" right="0.985416666666667" top="0.886111111111111" bottom="0.88611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2026-04-19T20:33:22Z</dcterms:created>
  <dc:creator>openpyxl</dc:creator>
  <dc:description/>
  <dc:language>en-GB</dc:language>
  <cp:lastModifiedBy/>
  <dcterms:modified xsi:type="dcterms:W3CDTF">2026-05-05T20:29:57Z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